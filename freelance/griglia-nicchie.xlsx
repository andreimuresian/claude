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" sheetId="1" state="visible" r:id="rId1"/>
    <sheet xmlns:r="http://schemas.openxmlformats.org/officeDocument/2006/relationships" name="Lista lunga" sheetId="2" state="visible" r:id="rId2"/>
    <sheet xmlns:r="http://schemas.openxmlformats.org/officeDocument/2006/relationships" name="Fase 2" sheetId="3" state="visible" r:id="rId3"/>
    <sheet xmlns:r="http://schemas.openxmlformats.org/officeDocument/2006/relationships" name="Segmenti B2B" sheetId="4" state="visible" r:id="rId4"/>
    <sheet xmlns:r="http://schemas.openxmlformats.org/officeDocument/2006/relationships" name="Fonti" sheetId="5" state="visible" r:id="rId5"/>
  </sheets>
  <definedNames>
    <definedName name="_xlnm._FilterDatabase" localSheetId="1" hidden="1">'Lista lunga'!$A$5:$U$75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41C22"/>
      <sz val="15"/>
    </font>
    <font>
      <name val="Arial"/>
      <i val="1"/>
      <color rgb="004A565E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color rgb="000000FF"/>
      <sz val="11"/>
    </font>
    <font>
      <name val="Arial"/>
      <color rgb="007C8A91"/>
      <sz val="11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0E6E5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3D0C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0" fontId="7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9" fontId="6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3" fontId="4" fillId="0" borderId="0" pivotButton="0" quotePrefix="0" xfId="0"/>
    <xf numFmtId="164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5" fillId="0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6" fillId="0" borderId="1" pivotButton="0" quotePrefix="0" xfId="0"/>
    <xf numFmtId="0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noze.it/insights/nis2-pmi-cyberagent/" TargetMode="External" Id="rId1"/><Relationship Type="http://schemas.openxmlformats.org/officeDocument/2006/relationships/hyperlink" Target="https://www.agendadigitale.eu/sicurezza/nis2-scadenze-2026-la-guida-per-le-piccole-imprese/" TargetMode="External" Id="rId2"/><Relationship Type="http://schemas.openxmlformats.org/officeDocument/2006/relationships/hyperlink" Target="https://www.agendadigitale.eu/industry-4-0/digital-omnibus-e-ai-act-cosa-puo-slittare-e-cosa-va-fatto-prima-di-agosto-2026/" TargetMode="External" Id="rId3"/><Relationship Type="http://schemas.openxmlformats.org/officeDocument/2006/relationships/hyperlink" Target="https://www.noze.it/insights/ai-act-digital-omnibus-2026/" TargetMode="External" Id="rId4"/><Relationship Type="http://schemas.openxmlformats.org/officeDocument/2006/relationships/hyperlink" Target="https://www.agendadigitale.eu/sicurezza/cyber-resilience-act-la-scadenza-chiave-arriva-l11-settembre-2026/" TargetMode="External" Id="rId5"/><Relationship Type="http://schemas.openxmlformats.org/officeDocument/2006/relationships/hyperlink" Target="https://www.ipsoa.it/documents/quotidiano/2026/09/02/cyber-resilience-act-11-settembre-2026-scatta-obbligo-segnalare-vulnerabilita-incidenti-gravi" TargetMode="External" Id="rId6"/><Relationship Type="http://schemas.openxmlformats.org/officeDocument/2006/relationships/hyperlink" Target="https://www.tuvsud.com/en-us/services/product-certification/red-cybersecurity-requirements" TargetMode="External" Id="rId7"/><Relationship Type="http://schemas.openxmlformats.org/officeDocument/2006/relationships/hyperlink" Target="https://www.yarix.com/Advisory-and-Consulting-Services/RED-Compliance" TargetMode="External" Id="rId8"/><Relationship Type="http://schemas.openxmlformats.org/officeDocument/2006/relationships/hyperlink" Target="https://certifico.com/macchine/regolamento-ue-2023-1230" TargetMode="External" Id="rId9"/><Relationship Type="http://schemas.openxmlformats.org/officeDocument/2006/relationships/hyperlink" Target="https://www.ilsussidiario.net/news/regolamento-macchine-ue-rosa-ucimu-mancano-criteri-comuni-e-chiari-serve-una-proroga/2986256/amp/" TargetMode="External" Id="rId10"/><Relationship Type="http://schemas.openxmlformats.org/officeDocument/2006/relationships/hyperlink" Target="https://quifinanza.it/lavoro/trasparenza-salariale-7-giugno-2026/960990/" TargetMode="External" Id="rId11"/><Relationship Type="http://schemas.openxmlformats.org/officeDocument/2006/relationships/hyperlink" Target="https://www.partitaiva.it/trasparenza-salariale/" TargetMode="External" Id="rId12"/><Relationship Type="http://schemas.openxmlformats.org/officeDocument/2006/relationships/hyperlink" Target="https://www.assolombarda.it/servizi/ambiente/informazioni/ppwr-dal-12-agosto-in-applicazione-il-nuovo-regolamento-ue-sugli-imballaggi" TargetMode="External" Id="rId13"/><Relationship Type="http://schemas.openxmlformats.org/officeDocument/2006/relationships/hyperlink" Target="https://www.bluestonepim.com/blog/digital-product-passport-for-batteries" TargetMode="External" Id="rId14"/><Relationship Type="http://schemas.openxmlformats.org/officeDocument/2006/relationships/hyperlink" Target="https://www.pmi.it/tecnologia/prodotti-e-servizi-ict/492107/passaporto-digitale-prodotto.html" TargetMode="External" Id="rId15"/><Relationship Type="http://schemas.openxmlformats.org/officeDocument/2006/relationships/hyperlink" Target="https://www.agendadigitale.eu/mercati-digitali/ecommerce/siti-ecommerce-accessibili-guida-in-5-step-per-evitare-sanzioni/" TargetMode="External" Id="rId16"/><Relationship Type="http://schemas.openxmlformats.org/officeDocument/2006/relationships/hyperlink" Target="https://www.iubenda.com/it/help/178476-accessibilita-101/" TargetMode="External" Id="rId17"/><Relationship Type="http://schemas.openxmlformats.org/officeDocument/2006/relationships/hyperlink" Target="https://www.agendadigitale.eu/industry-4-0/iperammortamento-2026-la-guida-cose-e-come-fare-le-comunicazioni-al-gse/" TargetMode="External" Id="rId18"/><Relationship Type="http://schemas.openxmlformats.org/officeDocument/2006/relationships/hyperlink" Target="https://pasqualepillitteri.it/perizia-iperammortamento" TargetMode="External" Id="rId19"/><Relationship Type="http://schemas.openxmlformats.org/officeDocument/2006/relationships/hyperlink" Target="https://aventis-advisors.com/teamsystem-acquisitions/" TargetMode="External" Id="rId20"/><Relationship Type="http://schemas.openxmlformats.org/officeDocument/2006/relationships/hyperlink" Target="https://www.editorialedomani.it/economia/banda-ultralarga-cantieri-obiettivi-pnrr-ritardi-regioni-oqbs3i02" TargetMode="External" Id="rId21"/><Relationship Type="http://schemas.openxmlformats.org/officeDocument/2006/relationships/hyperlink" Target="https://tariffe.segugio.it/news-tariffe/italia-1-giga-nuovi-ritardi-per-la-banda-ultra-larga-cosa-sta-succedendo-00043657.aspx" TargetMode="External" Id="rId22"/><Relationship Type="http://schemas.openxmlformats.org/officeDocument/2006/relationships/hyperlink" Target="https://tariffe.segugio.it/news-tariffe/internet-senza-fibra-la-fwa-supera-2-7-milioni-di-linee-00047779.aspx" TargetMode="External" Id="rId23"/><Relationship Type="http://schemas.openxmlformats.org/officeDocument/2006/relationships/hyperlink" Target="https://www.smartworld.it/news/frequenze-5g-26-ghz-gara-italia-agosto-2026.html" TargetMode="External" Id="rId24"/><Relationship Type="http://schemas.openxmlformats.org/officeDocument/2006/relationships/hyperlink" Target="https://accredia.it/wp-content/uploads/2024/07/Cartella-stampa-breve-dati-al-31-12-2025_ITA-1.pdf" TargetMode="External" Id="rId25"/><Relationship Type="http://schemas.openxmlformats.org/officeDocument/2006/relationships/hyperlink" Target="https://assomac.it/media/documents/rapporto_federmacchine_2020.pdf" TargetMode="External" Id="rId26"/><Relationship Type="http://schemas.openxmlformats.org/officeDocument/2006/relationships/hyperlink" Target="https://anie.it/federazione/chi-siamo/rapporto-annuale-2025_def" TargetMode="External" Id="rId27"/><Relationship Type="http://schemas.openxmlformats.org/officeDocument/2006/relationships/hyperlink" Target="https://www.cni.it/images/eventi/2021/01_Lelaborazione_delle_perizie_13lug2021.pdf" TargetMode="External" Id="rId28"/><Relationship Type="http://schemas.openxmlformats.org/officeDocument/2006/relationships/hyperlink" Target="https://www.fibertelecom.com/wt/2022/PDF/02-puglia/FTWWT2022-puglia-03.pdf" TargetMode="External" Id="rId29"/><Relationship Type="http://schemas.openxmlformats.org/officeDocument/2006/relationships/hyperlink" Target="https://www.infobuildenergia.it/approfondimenti/cer-comunita-energetiche-in-italia/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8" customWidth="1" min="3" max="3"/>
    <col width="70" customWidth="1" min="4" max="4"/>
  </cols>
  <sheetData>
    <row r="1">
      <c r="A1" s="1" t="inlineStr">
        <is>
          <t>Criteri di valutazione delle nicchie</t>
        </is>
      </c>
    </row>
    <row r="2" ht="30" customHeight="1">
      <c r="A2" s="2" t="inlineStr">
        <is>
          <t>I pesi (in blu) sono una proposta: cambiali e i punteggi della Lista lunga si ricalcolano. Ogni nicchia riceve da 1 a 5 su ogni criterio.</t>
        </is>
      </c>
    </row>
    <row r="4">
      <c r="A4" s="3" t="inlineStr">
        <is>
          <t>Criterio</t>
        </is>
      </c>
      <c r="B4" s="3" t="inlineStr">
        <is>
          <t>Domanda</t>
        </is>
      </c>
      <c r="C4" s="3" t="inlineStr">
        <is>
          <t>Peso</t>
        </is>
      </c>
      <c r="D4" s="3" t="inlineStr">
        <is>
          <t>Come si valuta (1 = peggio, 5 = meglio)</t>
        </is>
      </c>
    </row>
    <row r="5" ht="34" customHeight="1">
      <c r="A5" s="4" t="inlineStr">
        <is>
          <t>Bisogno urgente / obbligo</t>
        </is>
      </c>
      <c r="B5" s="5" t="inlineStr">
        <is>
          <t>C'è una scadenza di legge o un costo evidente che spinge ad agire ora?</t>
        </is>
      </c>
      <c r="C5" s="6" t="n">
        <v>20</v>
      </c>
      <c r="D5" s="5" t="inlineStr">
        <is>
          <t>1 = nice-to-have; 5 = obbligo di legge o costo alto e documentato</t>
        </is>
      </c>
    </row>
    <row r="6" ht="34" customHeight="1">
      <c r="A6" s="4" t="inlineStr">
        <is>
          <t>Budget del cliente</t>
        </is>
      </c>
      <c r="B6" s="5" t="inlineStr">
        <is>
          <t>I clienti tipo hanno ricavi &gt;1 M€ e capacità di spesa?</t>
        </is>
      </c>
      <c r="C6" s="6" t="n">
        <v>20</v>
      </c>
      <c r="D6" s="5" t="inlineStr">
        <is>
          <t>1 = micro-imprese; 5 = PMI con &gt;1 M€ di ricavi e abitudine a pagare software</t>
        </is>
      </c>
    </row>
    <row r="7" ht="34" customHeight="1">
      <c r="A7" s="4" t="inlineStr">
        <is>
          <t>Ricavi ricorrenti</t>
        </is>
      </c>
      <c r="B7" s="5" t="inlineStr">
        <is>
          <t>Il cliente paga ogni anno o ogni mese?</t>
        </is>
      </c>
      <c r="C7" s="6" t="n">
        <v>10</v>
      </c>
      <c r="D7" s="5" t="inlineStr">
        <is>
          <t>1 = una tantum; 5 = abbonamento naturale</t>
        </is>
      </c>
    </row>
    <row r="8" ht="34" customHeight="1">
      <c r="A8" s="4" t="inlineStr">
        <is>
          <t>Scalabilità</t>
        </is>
      </c>
      <c r="B8" s="5" t="inlineStr">
        <is>
          <t>Quanto costa servire un cliente in più? Margine?</t>
        </is>
      </c>
      <c r="C8" s="6" t="n">
        <v>15</v>
      </c>
      <c r="D8" s="5" t="inlineStr">
        <is>
          <t>1 = molto lavoro per cliente; 5 = costo marginale quasi zero</t>
        </is>
      </c>
    </row>
    <row r="9" ht="34" customHeight="1">
      <c r="A9" s="4" t="inlineStr">
        <is>
          <t>Canale di vendita</t>
        </is>
      </c>
      <c r="B9" s="5" t="inlineStr">
        <is>
          <t>Sai dove trovare i clienti e come raggiungerli?</t>
        </is>
      </c>
      <c r="C9" s="6" t="n">
        <v>10</v>
      </c>
      <c r="D9" s="5" t="inlineStr">
        <is>
          <t>1 = nessun canale chiaro; 5 = canale noto (associazioni, rivenditori, consulenti)</t>
        </is>
      </c>
    </row>
    <row r="10" ht="34" customHeight="1">
      <c r="A10" s="4" t="inlineStr">
        <is>
          <t>Concorrenza (5 = poca)</t>
        </is>
      </c>
      <c r="B10" s="5" t="inlineStr">
        <is>
          <t>Quanti concorrenti e quanto forti?</t>
        </is>
      </c>
      <c r="C10" s="6" t="n">
        <v>10</v>
      </c>
      <c r="D10" s="5" t="inlineStr">
        <is>
          <t>1 = mercato saturo; 5 = pochi o nessuno ben posizionato</t>
        </is>
      </c>
    </row>
    <row r="11" ht="34" customHeight="1">
      <c r="A11" s="4" t="inlineStr">
        <is>
          <t>Vantaggio tuo</t>
        </is>
      </c>
      <c r="B11" s="5" t="inlineStr">
        <is>
          <t>Capisci il problema meglio di chi lo risolve oggi?</t>
        </is>
      </c>
      <c r="C11" s="6" t="n">
        <v>10</v>
      </c>
      <c r="D11" s="5" t="inlineStr">
        <is>
          <t>1 = nessun vantaggio; 5 = lo conosci dall'interno</t>
        </is>
      </c>
    </row>
    <row r="12" ht="34" customHeight="1">
      <c r="A12" s="4" t="inlineStr">
        <is>
          <t>Testabile a poco prezzo</t>
        </is>
      </c>
      <c r="B12" s="5" t="inlineStr">
        <is>
          <t>Puoi verificare la domanda con un prototipo e conversazioni, senza spendere?</t>
        </is>
      </c>
      <c r="C12" s="6" t="n">
        <v>5</v>
      </c>
      <c r="D12" s="5" t="inlineStr">
        <is>
          <t>1 = serve capitale; 5 = test in 2 settimane a costo zero</t>
        </is>
      </c>
    </row>
    <row r="13">
      <c r="B13" s="7" t="inlineStr">
        <is>
          <t>Somma dei pesi</t>
        </is>
      </c>
      <c r="C13" s="7">
        <f>SUM(C5:C12)</f>
        <v/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30" customWidth="1" min="3" max="3"/>
    <col width="20" customWidth="1" min="4" max="4"/>
    <col width="34" customWidth="1" min="5" max="5"/>
    <col width="14" customWidth="1" min="6" max="6"/>
    <col width="26" customWidth="1" min="7" max="7"/>
    <col width="14" customWidth="1" min="8" max="8"/>
    <col width="14" customWidth="1" min="9" max="9"/>
    <col width="26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4" customWidth="1" min="19" max="19"/>
    <col width="16" customWidth="1" min="20" max="20"/>
    <col width="40" customWidth="1" min="21" max="21"/>
  </cols>
  <sheetData>
    <row r="1">
      <c r="A1" s="1" t="inlineStr">
        <is>
          <t>Lista lunga delle nicchie</t>
        </is>
      </c>
    </row>
    <row r="2" ht="34" customHeight="1">
      <c r="A2" s="2" t="inlineStr">
        <is>
          <t>Una riga per nicchia (lista lunga, Fase 1). Il segnale è solo il punto di partenza: la colonna Note dice se è stato verificato in ricerca (stampa di settore, non fonti ufficiali) o se è solo un'ipotesi. In blu le celle da compilare nelle fasi 2-3: stima di aziende target e di prezzo (con fonte) e punteggi 1-5. 'Clienti per 1 M€' e 'Punteggio' si calcolano da soli.</t>
        </is>
      </c>
    </row>
    <row r="4">
      <c r="J4" s="7" t="inlineStr">
        <is>
          <t>Peso →</t>
        </is>
      </c>
      <c r="K4" s="8">
        <f>Criteri!C5</f>
        <v/>
      </c>
      <c r="L4" s="8">
        <f>Criteri!C6</f>
        <v/>
      </c>
      <c r="M4" s="8">
        <f>Criteri!C7</f>
        <v/>
      </c>
      <c r="N4" s="8">
        <f>Criteri!C8</f>
        <v/>
      </c>
      <c r="O4" s="8">
        <f>Criteri!C9</f>
        <v/>
      </c>
      <c r="P4" s="8">
        <f>Criteri!C10</f>
        <v/>
      </c>
      <c r="Q4" s="8">
        <f>Criteri!C11</f>
        <v/>
      </c>
      <c r="R4" s="8">
        <f>Criteri!C12</f>
        <v/>
      </c>
    </row>
    <row r="5" ht="48" customHeight="1">
      <c r="A5" s="3" t="inlineStr">
        <is>
          <t>N</t>
        </is>
      </c>
      <c r="B5" s="3" t="inlineStr">
        <is>
          <t>Nicchia</t>
        </is>
      </c>
      <c r="C5" s="3" t="inlineStr">
        <is>
          <t>Cliente tipo</t>
        </is>
      </c>
      <c r="D5" s="3" t="inlineStr">
        <is>
          <t>Tipo di segnale</t>
        </is>
      </c>
      <c r="E5" s="3" t="inlineStr">
        <is>
          <t>Fonte del segnale</t>
        </is>
      </c>
      <c r="F5" s="3" t="inlineStr">
        <is>
          <t>Aziende target (stima)</t>
        </is>
      </c>
      <c r="G5" s="3" t="inlineStr">
        <is>
          <t>Fonte della stima</t>
        </is>
      </c>
      <c r="H5" s="3" t="inlineStr">
        <is>
          <t>Prezzo annuo per cliente (€)</t>
        </is>
      </c>
      <c r="I5" s="3" t="inlineStr">
        <is>
          <t>Clienti per 1 M€ di ricavi</t>
        </is>
      </c>
      <c r="J5" s="3" t="inlineStr">
        <is>
          <t>Concorrenti noti</t>
        </is>
      </c>
      <c r="K5" s="3" t="inlineStr">
        <is>
          <t>Bisogno urgente / obbligo</t>
        </is>
      </c>
      <c r="L5" s="3" t="inlineStr">
        <is>
          <t>Budget del cliente</t>
        </is>
      </c>
      <c r="M5" s="3" t="inlineStr">
        <is>
          <t>Ricavi ricorrenti</t>
        </is>
      </c>
      <c r="N5" s="3" t="inlineStr">
        <is>
          <t>Scalabilità</t>
        </is>
      </c>
      <c r="O5" s="3" t="inlineStr">
        <is>
          <t>Canale di vendita</t>
        </is>
      </c>
      <c r="P5" s="3" t="inlineStr">
        <is>
          <t>Concorrenza (5 = poca)</t>
        </is>
      </c>
      <c r="Q5" s="3" t="inlineStr">
        <is>
          <t>Vantaggio tuo</t>
        </is>
      </c>
      <c r="R5" s="3" t="inlineStr">
        <is>
          <t>Testabile a poco prezzo</t>
        </is>
      </c>
      <c r="S5" s="3" t="inlineStr">
        <is>
          <t>Punteggio ponderato (1-5)</t>
        </is>
      </c>
      <c r="T5" s="3" t="inlineStr">
        <is>
          <t>Stato</t>
        </is>
      </c>
      <c r="U5" s="3" t="inlineStr">
        <is>
          <t>Note</t>
        </is>
      </c>
    </row>
    <row r="6" ht="92" customHeight="1">
      <c r="A6" s="9" t="n">
        <v>1</v>
      </c>
      <c r="B6" s="6" t="inlineStr">
        <is>
          <t>NIS2: preparazione alla conformità per PMI fornitrici di soggetti critici</t>
        </is>
      </c>
      <c r="C6" s="6" t="inlineStr">
        <is>
          <t>PMI in filiere critiche; consulenti e MSP come canale</t>
        </is>
      </c>
      <c r="D6" s="6" t="inlineStr">
        <is>
          <t>Obbligo di legge</t>
        </is>
      </c>
      <c r="E6" s="6" t="inlineStr">
        <is>
          <t>Noze; Agenda Digitale</t>
        </is>
      </c>
      <c r="F6" s="10" t="n">
        <v>20000</v>
      </c>
      <c r="G6" s="6" t="inlineStr">
        <is>
          <t>Stampa di settore: 20.000–50.000 enti potenzialmente coinvolti (non registrati) (affidabilità: Media)</t>
        </is>
      </c>
      <c r="H6" s="10" t="n">
        <v>1500</v>
      </c>
      <c r="I6" s="11">
        <f>IF(H6&gt;0,ROUND(1000000/H6,0),"")</f>
        <v/>
      </c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4">
        <f>IF(COUNT(K6:R6)=0,"",ROUND(SUMPRODUCT(K6:R6,K$4:R$4)/SUM(K$4:R$4),2))</f>
        <v/>
      </c>
      <c r="T6" s="6" t="inlineStr">
        <is>
          <t>Da studiare</t>
        </is>
      </c>
      <c r="U6" s="6" t="inlineStr">
        <is>
          <t>Segnale verificato in ricerca (stampa di settore). Notifica incidenti operativa dal 15/01/2026; misure di base con scadenze da ottobre 2026 per chi ha ricevuto la comunicazione ad aprile 2025. Mercato affollato di consulenti. Numero di imprese coinvolte non trovato.</t>
        </is>
      </c>
    </row>
    <row r="7" ht="92" customHeight="1">
      <c r="A7" s="9" t="n">
        <v>2</v>
      </c>
      <c r="B7" s="6" t="inlineStr">
        <is>
          <t>NIS2 per MSP e consulenti: piattaforma multi-cliente per gestire la conformità di più aziende</t>
        </is>
      </c>
      <c r="C7" s="6" t="inlineStr">
        <is>
          <t>MSP, studi di consulenza IT</t>
        </is>
      </c>
      <c r="D7" s="6" t="inlineStr">
        <is>
          <t>Obbligo di legge</t>
        </is>
      </c>
      <c r="E7" s="6" t="inlineStr">
        <is>
          <t>Noze; Agenda Digitale</t>
        </is>
      </c>
      <c r="F7" s="10" t="n">
        <v>5000</v>
      </c>
      <c r="G7" s="6" t="inlineStr">
        <is>
          <t>Mia ipotesi: numero di MSP e studi di consulenza IT rilevanti (nessun dato trovato) (affidabilità: Bassa)</t>
        </is>
      </c>
      <c r="H7" s="10" t="n">
        <v>2400</v>
      </c>
      <c r="I7" s="11">
        <f>IF(H7&gt;0,ROUND(1000000/H7,0),"")</f>
        <v/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4">
        <f>IF(COUNT(K7:R7)=0,"",ROUND(SUMPRODUCT(K7:R7,K$4:R$4)/SUM(K$4:R$4),2))</f>
        <v/>
      </c>
      <c r="T7" s="6" t="inlineStr">
        <is>
          <t>Da studiare</t>
        </is>
      </c>
      <c r="U7" s="6" t="inlineStr">
        <is>
          <t>Segnale verificato in ricerca (stampa di settore). Variante della precedente: vendi al canale, non alla PMI finale. Da confrontare con piattaforme esistenti.</t>
        </is>
      </c>
    </row>
    <row r="8" ht="92" customHeight="1">
      <c r="A8" s="9" t="n">
        <v>3</v>
      </c>
      <c r="B8" s="6" t="inlineStr">
        <is>
          <t>Cyber Resilience Act: gestione segnalazione vulnerabilità e fascicolo tecnico per produttori</t>
        </is>
      </c>
      <c r="C8" s="6" t="inlineStr">
        <is>
          <t>Produttori di prodotti con elementi digitali (elettronica, IoT, macchine con software)</t>
        </is>
      </c>
      <c r="D8" s="6" t="inlineStr">
        <is>
          <t>Obbligo di legge</t>
        </is>
      </c>
      <c r="E8" s="6" t="inlineStr">
        <is>
          <t>Agenda Digitale; IPSOA</t>
        </is>
      </c>
      <c r="F8" s="10" t="n">
        <v>3000</v>
      </c>
      <c r="G8" s="6" t="inlineStr">
        <is>
          <t>ANIE: ~1.100 aziende associate (altre fonti: 1.600); più costruttori con software. Perimetro CRA non trovato (affidabilità: Bassa)</t>
        </is>
      </c>
      <c r="H8" s="10" t="n">
        <v>3000</v>
      </c>
      <c r="I8" s="11">
        <f>IF(H8&gt;0,ROUND(1000000/H8,0),"")</f>
        <v/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4">
        <f>IF(COUNT(K8:R8)=0,"",ROUND(SUMPRODUCT(K8:R8,K$4:R$4)/SUM(K$4:R$4),2))</f>
        <v/>
      </c>
      <c r="T8" s="6" t="inlineStr">
        <is>
          <t>Da studiare</t>
        </is>
      </c>
      <c r="U8" s="6" t="inlineStr">
        <is>
          <t>Segnale verificato in ricerca (stampa di settore). Obbligo di segnalazione dall'11/09/2026 (preallarme in 24 ore); piena applicazione 11/12/2027; sanzioni fino a 15 M€ (stampa). Vantaggio tuo: medio-alto.</t>
        </is>
      </c>
    </row>
    <row r="9" ht="92" customHeight="1">
      <c r="A9" s="9" t="n">
        <v>4</v>
      </c>
      <c r="B9" s="6" t="inlineStr">
        <is>
          <t>Direttiva RED (cybersicurezza): assistente alla conformità EN 18031 per produttori di apparecchi radio/IoT</t>
        </is>
      </c>
      <c r="C9" s="6" t="inlineStr">
        <is>
          <t>Produttori e importatori di apparecchi radio e dispositivi connessi</t>
        </is>
      </c>
      <c r="D9" s="6" t="inlineStr">
        <is>
          <t>Obbligo di legge</t>
        </is>
      </c>
      <c r="E9" s="6" t="inlineStr">
        <is>
          <t>TÜV SÜD; Yarix</t>
        </is>
      </c>
      <c r="F9" s="10" t="n">
        <v>800</v>
      </c>
      <c r="G9" s="6" t="inlineStr">
        <is>
          <t>Mia ipotesi: produttori e importatori di apparecchi radio in Italia (nessun dato trovato) (affidabilità: Bassa)</t>
        </is>
      </c>
      <c r="H9" s="10" t="n">
        <v>4000</v>
      </c>
      <c r="I9" s="11">
        <f>IF(H9&gt;0,ROUND(1000000/H9,0),"")</f>
        <v/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4">
        <f>IF(COUNT(K9:R9)=0,"",ROUND(SUMPRODUCT(K9:R9,K$4:R$4)/SUM(K$4:R$4),2))</f>
        <v/>
      </c>
      <c r="T9" s="6" t="inlineStr">
        <is>
          <t>Da studiare</t>
        </is>
      </c>
      <c r="U9" s="6" t="inlineStr">
        <is>
          <t>Segnale verificato in ricerca (stampa di settore). Applicabile dal 01/08/2025. Stato di armonizzazione degli standard discordante tra le fonti. Vantaggio tuo: alto (RF).</t>
        </is>
      </c>
    </row>
    <row r="10" ht="92" customHeight="1">
      <c r="A10" s="9" t="n">
        <v>5</v>
      </c>
      <c r="B10" s="6" t="inlineStr">
        <is>
          <t>Regolamento Macchine 2023/1230: generatore di fascicolo tecnico e dichiarazione UE</t>
        </is>
      </c>
      <c r="C10" s="6" t="inlineStr">
        <is>
          <t>Costruttori di macchine (Lombardia è un polo)</t>
        </is>
      </c>
      <c r="D10" s="6" t="inlineStr">
        <is>
          <t>Obbligo di legge</t>
        </is>
      </c>
      <c r="E10" s="6" t="inlineStr">
        <is>
          <t>Certifico; UCIMU</t>
        </is>
      </c>
      <c r="F10" s="10" t="n">
        <v>5000</v>
      </c>
      <c r="G10" s="6" t="inlineStr">
        <is>
          <t>Federmacchine 2020: 5.050 imprese (dato vecchio) (affidabilità: Media-bassa)</t>
        </is>
      </c>
      <c r="H10" s="10" t="n">
        <v>2500</v>
      </c>
      <c r="I10" s="11">
        <f>IF(H10&gt;0,ROUND(1000000/H10,0),"")</f>
        <v/>
      </c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4">
        <f>IF(COUNT(K10:R10)=0,"",ROUND(SUMPRODUCT(K10:R10,K$4:R$4)/SUM(K$4:R$4),2))</f>
        <v/>
      </c>
      <c r="T10" s="6" t="inlineStr">
        <is>
          <t>Da studiare</t>
        </is>
      </c>
      <c r="U10" s="6" t="inlineStr">
        <is>
          <t>Segnale verificato in ricerca (stampa di settore). Applicazione dal 20/01/2027; UCIMU chiede una proroga condizionata. Dettagli sulla documentazione tecnica non verificati.</t>
        </is>
      </c>
    </row>
    <row r="11" ht="92" customHeight="1">
      <c r="A11" s="9" t="n">
        <v>6</v>
      </c>
      <c r="B11" s="6" t="inlineStr">
        <is>
          <t>AI Act: inventario dei sistemi di IA e conformità agli obblighi di trasparenza (art. 50)</t>
        </is>
      </c>
      <c r="C11" s="6" t="inlineStr">
        <is>
          <t>PMI che usano o forniscono sistemi di IA</t>
        </is>
      </c>
      <c r="D11" s="6" t="inlineStr">
        <is>
          <t>Obbligo di legge</t>
        </is>
      </c>
      <c r="E11" s="6" t="inlineStr">
        <is>
          <t>Agenda Digitale; Noze</t>
        </is>
      </c>
      <c r="F11" s="10" t="n"/>
      <c r="G11" s="6" t="n"/>
      <c r="H11" s="10" t="n"/>
      <c r="I11" s="11">
        <f>IF(H11&gt;0,ROUND(1000000/H11,0),"")</f>
        <v/>
      </c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4">
        <f>IF(COUNT(K11:R11)=0,"",ROUND(SUMPRODUCT(K11:R11,K$4:R$4)/SUM(K$4:R$4),2))</f>
        <v/>
      </c>
      <c r="T11" s="6" t="inlineStr">
        <is>
          <t>Da studiare</t>
        </is>
      </c>
      <c r="U11" s="6" t="inlineStr">
        <is>
          <t>Segnale verificato in ricerca (stampa di settore). Trasparenza dal 02/08/2026; alto rischio rinviato a dicembre 2027 / agosto 2028 (accordo provvisorio del 07/05/2026, da verificare in Gazzetta UE). Domanda specifica debole.</t>
        </is>
      </c>
    </row>
    <row r="12" ht="92" customHeight="1">
      <c r="A12" s="9" t="n">
        <v>7</v>
      </c>
      <c r="B12" s="6" t="inlineStr">
        <is>
          <t>Trasparenza retributiva: annunci e report sul divario di genere</t>
        </is>
      </c>
      <c r="C12" s="6" t="inlineStr">
        <is>
          <t>Aziende con 100+ dipendenti, uffici HR</t>
        </is>
      </c>
      <c r="D12" s="6" t="inlineStr">
        <is>
          <t>Obbligo di legge</t>
        </is>
      </c>
      <c r="E12" s="6" t="inlineStr">
        <is>
          <t>QuiFinanza; PartitaIVA.it</t>
        </is>
      </c>
      <c r="F12" s="10" t="n"/>
      <c r="G12" s="6" t="n"/>
      <c r="H12" s="10" t="n"/>
      <c r="I12" s="11">
        <f>IF(H12&gt;0,ROUND(1000000/H12,0),"")</f>
        <v/>
      </c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4">
        <f>IF(COUNT(K12:R12)=0,"",ROUND(SUMPRODUCT(K12:R12,K$4:R$4)/SUM(K$4:R$4),2))</f>
        <v/>
      </c>
      <c r="T12" s="6" t="inlineStr">
        <is>
          <t>Da studiare</t>
        </is>
      </c>
      <c r="U12" s="6" t="inlineStr">
        <is>
          <t>Segnale verificato in ricerca (stampa di settore). Stato del decreto di recepimento discordante tra le fonti (D.Lgs. 96/2026?). Report annuale dal 07/06/2027 per 250+ dipendenti. Il target è piccolo: poche aziende con 100+ dipendenti.</t>
        </is>
      </c>
    </row>
    <row r="13" ht="92" customHeight="1">
      <c r="A13" s="9" t="n">
        <v>8</v>
      </c>
      <c r="B13" s="6" t="inlineStr">
        <is>
          <t>PPWR imballaggi: gestione dati e dichiarazioni di conformità</t>
        </is>
      </c>
      <c r="C13" s="6" t="inlineStr">
        <is>
          <t>Produttori e utilizzatori di imballaggi (Lombardia ha molti)</t>
        </is>
      </c>
      <c r="D13" s="6" t="inlineStr">
        <is>
          <t>Obbligo di legge</t>
        </is>
      </c>
      <c r="E13" s="6" t="inlineStr">
        <is>
          <t>Assolombarda</t>
        </is>
      </c>
      <c r="F13" s="10" t="n"/>
      <c r="G13" s="6" t="n"/>
      <c r="H13" s="10" t="n"/>
      <c r="I13" s="11">
        <f>IF(H13&gt;0,ROUND(1000000/H13,0),"")</f>
        <v/>
      </c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4">
        <f>IF(COUNT(K13:R13)=0,"",ROUND(SUMPRODUCT(K13:R13,K$4:R$4)/SUM(K$4:R$4),2))</f>
        <v/>
      </c>
      <c r="T13" s="6" t="inlineStr">
        <is>
          <t>Da studiare</t>
        </is>
      </c>
      <c r="U13" s="6" t="inlineStr">
        <is>
          <t>Segnale verificato in ricerca (stampa di settore). Applicabile dal 12/08/2026; date di etichettatura discordanti (2026, 2027, 2028). Assolombarda ha attivato un desk dedicato.</t>
        </is>
      </c>
    </row>
    <row r="14" ht="92" customHeight="1">
      <c r="A14" s="9" t="n">
        <v>9</v>
      </c>
      <c r="B14" s="6" t="inlineStr">
        <is>
          <t>Passaporto digitale di prodotto: raccolta dati per batterie e tessile</t>
        </is>
      </c>
      <c r="C14" s="6" t="inlineStr">
        <is>
          <t>Produttori di batterie e tessile</t>
        </is>
      </c>
      <c r="D14" s="6" t="inlineStr">
        <is>
          <t>Obbligo di legge</t>
        </is>
      </c>
      <c r="E14" s="6" t="inlineStr">
        <is>
          <t>Bluestone PIM; PMI.it</t>
        </is>
      </c>
      <c r="F14" s="10" t="n"/>
      <c r="G14" s="6" t="n"/>
      <c r="H14" s="10" t="n"/>
      <c r="I14" s="11">
        <f>IF(H14&gt;0,ROUND(1000000/H14,0),"")</f>
        <v/>
      </c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4">
        <f>IF(COUNT(K14:R14)=0,"",ROUND(SUMPRODUCT(K14:R14,K$4:R$4)/SUM(K$4:R$4),2))</f>
        <v/>
      </c>
      <c r="T14" s="6" t="inlineStr">
        <is>
          <t>Da studiare</t>
        </is>
      </c>
      <c r="U14" s="6" t="inlineStr">
        <is>
          <t>Segnale verificato in ricerca (stampa di settore). Batterie dal 18/02/2027; tessile non ancora definito. Dominato da grandi fornitori e dagli atti delegati.</t>
        </is>
      </c>
    </row>
    <row r="15" ht="92" customHeight="1">
      <c r="A15" s="9" t="n">
        <v>10</v>
      </c>
      <c r="B15" s="6" t="inlineStr">
        <is>
          <t>Accessibilità digitale (EAA): audit e correzione per e-commerce</t>
        </is>
      </c>
      <c r="C15" s="6" t="inlineStr">
        <is>
          <t>E-commerce italiani</t>
        </is>
      </c>
      <c r="D15" s="6" t="inlineStr">
        <is>
          <t>Obbligo di legge</t>
        </is>
      </c>
      <c r="E15" s="6" t="inlineStr">
        <is>
          <t>Agenda Digitale; Iubenda</t>
        </is>
      </c>
      <c r="F15" s="10" t="n"/>
      <c r="G15" s="6" t="n"/>
      <c r="H15" s="10" t="n"/>
      <c r="I15" s="11">
        <f>IF(H15&gt;0,ROUND(1000000/H15,0),"")</f>
        <v/>
      </c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4">
        <f>IF(COUNT(K15:R15)=0,"",ROUND(SUMPRODUCT(K15:R15,K$4:R$4)/SUM(K$4:R$4),2))</f>
        <v/>
      </c>
      <c r="T15" s="6" t="inlineStr">
        <is>
          <t>Da studiare</t>
        </is>
      </c>
      <c r="U15" s="6" t="inlineStr">
        <is>
          <t>Segnale verificato in ricerca (stampa di settore). Obbligo dal 28/06/2025; piattaforma di segnalazione AgID dal 11/03/2026; sanzioni da verificare (nessun procedimento pubblico trovato a giugno 2026). Molti fornitori.</t>
        </is>
      </c>
    </row>
    <row r="16" ht="92" customHeight="1">
      <c r="A16" s="9" t="n">
        <v>11</v>
      </c>
      <c r="B16" s="6" t="inlineStr">
        <is>
          <t>Iperammortamento 2026: pratica per perizia asseverata, certificazione e comunicazioni al GSE</t>
        </is>
      </c>
      <c r="C16" s="6" t="inlineStr">
        <is>
          <t>Studi di ingegneria che firmano perizie; imprese manifatturiere</t>
        </is>
      </c>
      <c r="D16" s="6" t="inlineStr">
        <is>
          <t>Incentivi / fondi</t>
        </is>
      </c>
      <c r="E16" s="6" t="inlineStr">
        <is>
          <t>Agenda Digitale; Pasquale Pillitteri</t>
        </is>
      </c>
      <c r="F16" s="10" t="n">
        <v>12000</v>
      </c>
      <c r="G16" s="6" t="inlineStr">
        <is>
          <t>CNI 2020: 4,5%–9% degli ingegneri ha firmato perizie, in media 10 ciascuno (+ ordine di grandezza mio) (affidabilità: Bassa)</t>
        </is>
      </c>
      <c r="H16" s="10" t="n">
        <v>600</v>
      </c>
      <c r="I16" s="11">
        <f>IF(H16&gt;0,ROUND(1000000/H16,0),"")</f>
        <v/>
      </c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4">
        <f>IF(COUNT(K16:R16)=0,"",ROUND(SUMPRODUCT(K16:R16,K$4:R$4)/SUM(K$4:R$4),2))</f>
        <v/>
      </c>
      <c r="T16" s="6" t="inlineStr">
        <is>
          <t>Da studiare</t>
        </is>
      </c>
      <c r="U16" s="6" t="inlineStr">
        <is>
          <t>Segnale verificato in ricerca (stampa di settore). Piattaforma GSE dal 12/06/2026; comunicazione di completamento entro 15/11/2028. La perizia è di un ingegnere iscritto all'albo: collegato agli studi che stai contattando. Regole (soglie, SaaS) discordanti tra le fonti.</t>
        </is>
      </c>
    </row>
    <row r="17" ht="92" customHeight="1">
      <c r="A17" s="9" t="n">
        <v>12</v>
      </c>
      <c r="B17" s="6" t="inlineStr">
        <is>
          <t>Fibra ottica: report di collaudo e documentazione per imprese di posa</t>
        </is>
      </c>
      <c r="C17" s="6" t="inlineStr">
        <is>
          <t>Imprese di posa fibra e installatori</t>
        </is>
      </c>
      <c r="D17" s="6" t="inlineStr">
        <is>
          <t>Incentivi / fondi</t>
        </is>
      </c>
      <c r="E17" s="6" t="inlineStr">
        <is>
          <t>Domani</t>
        </is>
      </c>
      <c r="F17" s="10" t="n">
        <v>1000</v>
      </c>
      <c r="G17" s="6" t="inlineStr">
        <is>
          <t>Mia ipotesi: nessun dato trovato sul numero di imprese di posa (affidabilità: Bassa)</t>
        </is>
      </c>
      <c r="H17" s="10" t="n">
        <v>2000</v>
      </c>
      <c r="I17" s="11">
        <f>IF(H17&gt;0,ROUND(1000000/H17,0),"")</f>
        <v/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4">
        <f>IF(COUNT(K17:R17)=0,"",ROUND(SUMPRODUCT(K17:R17,K$4:R$4)/SUM(K$4:R$4),2))</f>
        <v/>
      </c>
      <c r="T17" s="6" t="inlineStr">
        <is>
          <t>Da studiare</t>
        </is>
      </c>
      <c r="U17" s="6" t="inlineStr">
        <is>
          <t>Segnale verificato in ricerca (stampa di settore). Piano Italia 1 Giga in ritardo: 250–700 mila civici potrebbero uscire dal Piano. Committenti con portali propri; strumenti degli OTDR con report già inclusi.</t>
        </is>
      </c>
    </row>
    <row r="18" ht="92" customHeight="1">
      <c r="A18" s="9" t="n">
        <v>13</v>
      </c>
      <c r="B18" s="6" t="inlineStr">
        <is>
          <t>Comunità energetiche: piattaforma di gestione per CER, condomini e comuni</t>
        </is>
      </c>
      <c r="C18" s="6" t="inlineStr">
        <is>
          <t>Promotori di CER, amministratori di condominio, comuni</t>
        </is>
      </c>
      <c r="D18" s="6" t="inlineStr">
        <is>
          <t>Incentivi / fondi</t>
        </is>
      </c>
      <c r="E18" s="6" t="inlineStr">
        <is>
          <t>InfoBuild Energia</t>
        </is>
      </c>
      <c r="F18" s="10" t="n"/>
      <c r="G18" s="6" t="n"/>
      <c r="H18" s="10" t="n"/>
      <c r="I18" s="11">
        <f>IF(H18&gt;0,ROUND(1000000/H18,0),"")</f>
        <v/>
      </c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4">
        <f>IF(COUNT(K18:R18)=0,"",ROUND(SUMPRODUCT(K18:R18,K$4:R$4)/SUM(K$4:R$4),2))</f>
        <v/>
      </c>
      <c r="T18" s="6" t="inlineStr">
        <is>
          <t>Da studiare</t>
        </is>
      </c>
      <c r="U18" s="6" t="inlineStr">
        <is>
          <t>Segnale verificato in ricerca (stampa di settore). Obiettivo di 15.000 CER a giugno 2026 probabilmente mancato; regole ancora instabili.</t>
        </is>
      </c>
    </row>
    <row r="19" ht="92" customHeight="1">
      <c r="A19" s="9" t="n">
        <v>14</v>
      </c>
      <c r="B19" s="6" t="inlineStr">
        <is>
          <t>Diagnosi energetica obbligatoria: strumento per redigere e gestire le diagnosi</t>
        </is>
      </c>
      <c r="C19" s="6" t="inlineStr">
        <is>
          <t>Studi di ingegneria, ESCO, grandi imprese ed energivori</t>
        </is>
      </c>
      <c r="D19" s="6" t="inlineStr">
        <is>
          <t>Incentivi / fondi</t>
        </is>
      </c>
      <c r="E19" s="6" t="inlineStr">
        <is>
          <t>da cercare</t>
        </is>
      </c>
      <c r="F19" s="10" t="n"/>
      <c r="G19" s="6" t="n"/>
      <c r="H19" s="10" t="n"/>
      <c r="I19" s="11">
        <f>IF(H19&gt;0,ROUND(1000000/H19,0),"")</f>
        <v/>
      </c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4">
        <f>IF(COUNT(K19:R19)=0,"",ROUND(SUMPRODUCT(K19:R19,K$4:R$4)/SUM(K$4:R$4),2))</f>
        <v/>
      </c>
      <c r="T19" s="6" t="inlineStr">
        <is>
          <t>Da studiare</t>
        </is>
      </c>
      <c r="U19" s="6" t="inlineStr">
        <is>
          <t>Segnale da verificare: non cercato. Obbligo ricorrente (ogni 4 anni per le imprese soggette). Da verificare sulle norme e sul mercato.</t>
        </is>
      </c>
    </row>
    <row r="20" ht="92" customHeight="1">
      <c r="A20" s="9" t="n">
        <v>15</v>
      </c>
      <c r="B20" s="6" t="inlineStr">
        <is>
          <t>FWA: pianificazione e monitoraggio per piccoli operatori wireless</t>
        </is>
      </c>
      <c r="C20" s="6" t="inlineStr">
        <is>
          <t>Piccoli provider FWA/WISP</t>
        </is>
      </c>
      <c r="D20" s="6" t="inlineStr">
        <is>
          <t>Altro</t>
        </is>
      </c>
      <c r="E20" s="6" t="inlineStr">
        <is>
          <t>Segugio (dati AGCOM)</t>
        </is>
      </c>
      <c r="F20" s="10" t="n">
        <v>400</v>
      </c>
      <c r="G20" s="6" t="inlineStr">
        <is>
          <t>Consulente 2022: 'centinaia' di WISP in Italia (affidabilità: Bassa)</t>
        </is>
      </c>
      <c r="H20" s="10" t="n">
        <v>1500</v>
      </c>
      <c r="I20" s="11">
        <f>IF(H20&gt;0,ROUND(1000000/H20,0),"")</f>
        <v/>
      </c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4">
        <f>IF(COUNT(K20:R20)=0,"",ROUND(SUMPRODUCT(K20:R20,K$4:R$4)/SUM(K$4:R$4),2))</f>
        <v/>
      </c>
      <c r="T20" s="6" t="inlineStr">
        <is>
          <t>Da studiare</t>
        </is>
      </c>
      <c r="U20" s="6" t="inlineStr">
        <is>
          <t>Segnale verificato in ricerca (stampa di settore). Oltre 2,7 milioni di linee FWA, +13% in un anno; frequenze 26 GHz in assegnazione. Nessun dato recente sul numero di piccoli provider.</t>
        </is>
      </c>
    </row>
    <row r="21" ht="92" customHeight="1">
      <c r="A21" s="9" t="n">
        <v>16</v>
      </c>
      <c r="B21" s="6" t="inlineStr">
        <is>
          <t>Audit e ottimizzazione dei costi telecom per PMI</t>
        </is>
      </c>
      <c r="C21" s="6" t="inlineStr">
        <is>
          <t>PMI con molte linee e contratti</t>
        </is>
      </c>
      <c r="D21" s="6" t="inlineStr">
        <is>
          <t>Altro</t>
        </is>
      </c>
      <c r="E21" s="6" t="inlineStr">
        <is>
          <t>da cercare</t>
        </is>
      </c>
      <c r="F21" s="10" t="n"/>
      <c r="G21" s="6" t="n"/>
      <c r="H21" s="10" t="n"/>
      <c r="I21" s="11">
        <f>IF(H21&gt;0,ROUND(1000000/H21,0),"")</f>
        <v/>
      </c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4">
        <f>IF(COUNT(K21:R21)=0,"",ROUND(SUMPRODUCT(K21:R21,K$4:R$4)/SUM(K$4:R$4),2))</f>
        <v/>
      </c>
      <c r="T21" s="6" t="inlineStr">
        <is>
          <t>Da studiare</t>
        </is>
      </c>
      <c r="U21" s="6" t="inlineStr">
        <is>
          <t>Solo ipotesi nostra: domanda non verificata. Vantaggio tuo alto; modello a risparmio condiviso. Da verificare quanto si risparmia davvero.</t>
        </is>
      </c>
    </row>
    <row r="22" ht="92" customHeight="1">
      <c r="A22" s="9" t="n">
        <v>17</v>
      </c>
      <c r="B22" s="6" t="inlineStr">
        <is>
          <t>Pianificazione turni e presenze per magazzini, logistica e conto terzi</t>
        </is>
      </c>
      <c r="C22" s="6" t="inlineStr">
        <is>
          <t>Logistica, confezionamento conto terzi, magazzini</t>
        </is>
      </c>
      <c r="D22" s="6" t="inlineStr">
        <is>
          <t>Acquisizioni di verticali</t>
        </is>
      </c>
      <c r="E22" s="6" t="inlineStr">
        <is>
          <t>Aventis Advisors (Zucchetti)</t>
        </is>
      </c>
      <c r="F22" s="10" t="n"/>
      <c r="G22" s="6" t="n"/>
      <c r="H22" s="10" t="n"/>
      <c r="I22" s="11">
        <f>IF(H22&gt;0,ROUND(1000000/H22,0),"")</f>
        <v/>
      </c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4">
        <f>IF(COUNT(K22:R22)=0,"",ROUND(SUMPRODUCT(K22:R22,K$4:R$4)/SUM(K$4:R$4),2))</f>
        <v/>
      </c>
      <c r="T22" s="6" t="inlineStr">
        <is>
          <t>Da studiare</t>
        </is>
      </c>
      <c r="U22" s="6" t="inlineStr">
        <is>
          <t>Zucchetti ha acquisito la maggioranza di AWMS (personale per fabbriche e logistica): segnale che il verticale vale. In zona: 6 imprese di conto terzi nell'elenco. Software di turni già presenti.</t>
        </is>
      </c>
    </row>
    <row r="23" ht="92" customHeight="1">
      <c r="A23" s="9" t="n">
        <v>18</v>
      </c>
      <c r="B23" s="6" t="inlineStr">
        <is>
          <t>Gestione commesse e avanzamento lavori per piccole imprese edili e impiantisti</t>
        </is>
      </c>
      <c r="C23" s="6" t="inlineStr">
        <is>
          <t>Imprese edili, impiantisti</t>
        </is>
      </c>
      <c r="D23" s="6" t="inlineStr">
        <is>
          <t>Acquisizioni di verticali</t>
        </is>
      </c>
      <c r="E23" s="6" t="inlineStr">
        <is>
          <t>Aventis Advisors (TeamSystem)</t>
        </is>
      </c>
      <c r="F23" s="10" t="n"/>
      <c r="G23" s="6" t="n"/>
      <c r="H23" s="10" t="n"/>
      <c r="I23" s="11">
        <f>IF(H23&gt;0,ROUND(1000000/H23,0),"")</f>
        <v/>
      </c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4">
        <f>IF(COUNT(K23:R23)=0,"",ROUND(SUMPRODUCT(K23:R23,K$4:R$4)/SUM(K$4:R$4),2))</f>
        <v/>
      </c>
      <c r="T23" s="6" t="inlineStr">
        <is>
          <t>Da studiare</t>
        </is>
      </c>
      <c r="U23" s="6" t="inlineStr">
        <is>
          <t>TeamSystem ha fatto 7 acquisizioni nel comparto industria/costruzioni/real estate: segnale di valore del verticale. Mercato presidiato da gruppi grandi.</t>
        </is>
      </c>
    </row>
    <row r="24" ht="92" customHeight="1">
      <c r="A24" s="9" t="n">
        <v>19</v>
      </c>
      <c r="B24" s="6" t="inlineStr">
        <is>
          <t>Scadenzario obblighi di sicurezza sul lavoro (formazione, visite, DPI) per PMI</t>
        </is>
      </c>
      <c r="C24" s="6" t="inlineStr">
        <is>
          <t>PMI manifatturiere e di servizi</t>
        </is>
      </c>
      <c r="D24" s="6" t="inlineStr">
        <is>
          <t>Acquisizioni di verticali</t>
        </is>
      </c>
      <c r="E24" s="6" t="inlineStr">
        <is>
          <t>Aventis Advisors (TeamSystem: legal, compliance, sicurezza)</t>
        </is>
      </c>
      <c r="F24" s="10" t="n"/>
      <c r="G24" s="6" t="n"/>
      <c r="H24" s="10" t="n"/>
      <c r="I24" s="11">
        <f>IF(H24&gt;0,ROUND(1000000/H24,0),"")</f>
        <v/>
      </c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4">
        <f>IF(COUNT(K24:R24)=0,"",ROUND(SUMPRODUCT(K24:R24,K$4:R$4)/SUM(K$4:R$4),2))</f>
        <v/>
      </c>
      <c r="T24" s="6" t="inlineStr">
        <is>
          <t>Da studiare</t>
        </is>
      </c>
      <c r="U24" s="6" t="inlineStr">
        <is>
          <t>5 acquisizioni TeamSystem in legal/compliance/sicurezza. Prodotti già esistenti; da mappare i concorrenti.</t>
        </is>
      </c>
    </row>
    <row r="25" ht="92" customHeight="1">
      <c r="A25" s="9" t="n">
        <v>20</v>
      </c>
      <c r="B25" s="6" t="inlineStr">
        <is>
          <t>Report di collaudo automatici da dati di misura per laboratori e officine</t>
        </is>
      </c>
      <c r="C25" s="6" t="inlineStr">
        <is>
          <t>Laboratori di prova, officine di precisione, assemblatori</t>
        </is>
      </c>
      <c r="D25" s="6" t="inlineStr">
        <is>
          <t>Altro</t>
        </is>
      </c>
      <c r="E25" s="6" t="inlineStr">
        <is>
          <t>idea precedente</t>
        </is>
      </c>
      <c r="F25" s="10" t="n">
        <v>3000</v>
      </c>
      <c r="G25" s="6" t="inlineStr">
        <is>
          <t>Accredia (31/12/2025): 1.448 laboratori di prova e 228 di taratura/altro; più laboratori interni non contati (affidabilità: Media)</t>
        </is>
      </c>
      <c r="H25" s="10" t="n">
        <v>1200</v>
      </c>
      <c r="I25" s="11">
        <f>IF(H25&gt;0,ROUND(1000000/H25,0),"")</f>
        <v/>
      </c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4">
        <f>IF(COUNT(K25:R25)=0,"",ROUND(SUMPRODUCT(K25:R25,K$4:R$4)/SUM(K$4:R$4),2))</f>
        <v/>
      </c>
      <c r="T25" s="6" t="inlineStr">
        <is>
          <t>Da studiare</t>
        </is>
      </c>
      <c r="U25" s="6" t="inlineStr">
        <is>
          <t>Solo ipotesi nostra: domanda non verificata. Gli strumenti hanno già software di report. Vantaggio tuo: alto.</t>
        </is>
      </c>
    </row>
    <row r="26" ht="92" customHeight="1">
      <c r="A26" s="9" t="n">
        <v>21</v>
      </c>
      <c r="B26" s="6" t="inlineStr">
        <is>
          <t>Scadenzario tarature degli strumenti di misura (ISO 9001)</t>
        </is>
      </c>
      <c r="C26" s="6" t="inlineStr">
        <is>
          <t>Officine, laboratori, PMI certificate</t>
        </is>
      </c>
      <c r="D26" s="6" t="inlineStr">
        <is>
          <t>Altro</t>
        </is>
      </c>
      <c r="E26" s="6" t="inlineStr">
        <is>
          <t>idea precedente</t>
        </is>
      </c>
      <c r="F26" s="10" t="n"/>
      <c r="G26" s="6" t="n"/>
      <c r="H26" s="10" t="n"/>
      <c r="I26" s="11">
        <f>IF(H26&gt;0,ROUND(1000000/H26,0),"")</f>
        <v/>
      </c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4">
        <f>IF(COUNT(K26:R26)=0,"",ROUND(SUMPRODUCT(K26:R26,K$4:R$4)/SUM(K$4:R$4),2))</f>
        <v/>
      </c>
      <c r="T26" s="6" t="inlineStr">
        <is>
          <t>Da studiare</t>
        </is>
      </c>
      <c r="U26" s="6" t="inlineStr">
        <is>
          <t>Solo ipotesi nostra: domanda non verificata.</t>
        </is>
      </c>
    </row>
    <row r="27" ht="92" customHeight="1">
      <c r="A27" s="9" t="n">
        <v>22</v>
      </c>
      <c r="B27" s="6" t="inlineStr">
        <is>
          <t>Preventivatore con codici articolo per distributori tecnici</t>
        </is>
      </c>
      <c r="C27" s="6" t="inlineStr">
        <is>
          <t>Distributori di bulloneria, acciai, plastiche, macchine utensili</t>
        </is>
      </c>
      <c r="D27" s="6" t="inlineStr">
        <is>
          <t>Altro</t>
        </is>
      </c>
      <c r="E27" s="6" t="inlineStr">
        <is>
          <t>idea precedente</t>
        </is>
      </c>
      <c r="F27" s="10" t="n"/>
      <c r="G27" s="6" t="n"/>
      <c r="H27" s="10" t="n"/>
      <c r="I27" s="11">
        <f>IF(H27&gt;0,ROUND(1000000/H27,0),"")</f>
        <v/>
      </c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4">
        <f>IF(COUNT(K27:R27)=0,"",ROUND(SUMPRODUCT(K27:R27,K$4:R$4)/SUM(K$4:R$4),2))</f>
        <v/>
      </c>
      <c r="T27" s="6" t="inlineStr">
        <is>
          <t>Da studiare</t>
        </is>
      </c>
      <c r="U27" s="6" t="inlineStr">
        <is>
          <t>Solo ipotesi nostra: domanda non verificata. Probabile presenza di gestionali; da verificare.</t>
        </is>
      </c>
    </row>
    <row r="28" ht="92" customHeight="1">
      <c r="A28" s="9" t="n">
        <v>23</v>
      </c>
      <c r="B28" s="6" t="inlineStr">
        <is>
          <t>Estrazione dati da ordini, DDT e preventivi in PDF per il back-office</t>
        </is>
      </c>
      <c r="C28" s="6" t="inlineStr">
        <is>
          <t>PMI con ufficio ordini</t>
        </is>
      </c>
      <c r="D28" s="6" t="inlineStr">
        <is>
          <t>Annunci di lavoro</t>
        </is>
      </c>
      <c r="E28" s="6" t="inlineStr">
        <is>
          <t>da cercare</t>
        </is>
      </c>
      <c r="F28" s="10" t="n"/>
      <c r="G28" s="6" t="n"/>
      <c r="H28" s="10" t="n"/>
      <c r="I28" s="11">
        <f>IF(H28&gt;0,ROUND(1000000/H28,0),"")</f>
        <v/>
      </c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4">
        <f>IF(COUNT(K28:R28)=0,"",ROUND(SUMPRODUCT(K28:R28,K$4:R$4)/SUM(K$4:R$4),2))</f>
        <v/>
      </c>
      <c r="T28" s="6" t="inlineStr">
        <is>
          <t>Da studiare</t>
        </is>
      </c>
      <c r="U28" s="6" t="inlineStr">
        <is>
          <t>Segnale da verificare: non cercato. Da cercare tra gli annunci per ruoli ripetitivi (ufficio ordini, data entry).</t>
        </is>
      </c>
    </row>
    <row r="29" ht="92" customHeight="1">
      <c r="A29" s="9" t="n">
        <v>24</v>
      </c>
      <c r="B29" s="6" t="inlineStr">
        <is>
          <t>Assistente a documentazione tecnica per l'assistenza post-vendita dei costruttori di macchine</t>
        </is>
      </c>
      <c r="C29" s="6" t="inlineStr">
        <is>
          <t>Costruttori di macchine</t>
        </is>
      </c>
      <c r="D29" s="6" t="inlineStr">
        <is>
          <t>Altro</t>
        </is>
      </c>
      <c r="E29" s="6" t="inlineStr">
        <is>
          <t>idea Gemini</t>
        </is>
      </c>
      <c r="F29" s="10" t="n"/>
      <c r="G29" s="6" t="n"/>
      <c r="H29" s="10" t="n"/>
      <c r="I29" s="11">
        <f>IF(H29&gt;0,ROUND(1000000/H29,0),"")</f>
        <v/>
      </c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4">
        <f>IF(COUNT(K29:R29)=0,"",ROUND(SUMPRODUCT(K29:R29,K$4:R$4)/SUM(K$4:R$4),2))</f>
        <v/>
      </c>
      <c r="T29" s="6" t="inlineStr">
        <is>
          <t>Da studiare</t>
        </is>
      </c>
      <c r="U29" s="6" t="inlineStr">
        <is>
          <t>Solo ipotesi nostra: domanda non verificata.</t>
        </is>
      </c>
    </row>
    <row r="30" ht="92" customHeight="1">
      <c r="A30" s="9" t="n">
        <v>25</v>
      </c>
      <c r="B30" s="6" t="inlineStr">
        <is>
          <t>Automazione di relazioni, perizie e pratiche per studi tecnici</t>
        </is>
      </c>
      <c r="C30" s="6" t="inlineStr">
        <is>
          <t>Studi di ingegneria e professionisti</t>
        </is>
      </c>
      <c r="D30" s="6" t="inlineStr">
        <is>
          <t>Altro</t>
        </is>
      </c>
      <c r="E30" s="6" t="inlineStr">
        <is>
          <t>studi contattati</t>
        </is>
      </c>
      <c r="F30" s="10" t="n"/>
      <c r="G30" s="6" t="n"/>
      <c r="H30" s="10" t="n"/>
      <c r="I30" s="11">
        <f>IF(H30&gt;0,ROUND(1000000/H30,0),"")</f>
        <v/>
      </c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4">
        <f>IF(COUNT(K30:R30)=0,"",ROUND(SUMPRODUCT(K30:R30,K$4:R$4)/SUM(K$4:R$4),2))</f>
        <v/>
      </c>
      <c r="T30" s="6" t="inlineStr">
        <is>
          <t>Da studiare</t>
        </is>
      </c>
      <c r="U30" s="6" t="inlineStr">
        <is>
          <t>Solo ipotesi nostra: domanda non verificata. Gli studi (DEAL, Parodi, Lommano) fanno pratiche antincendio, certificazioni energetiche, perizie.</t>
        </is>
      </c>
    </row>
    <row r="31" ht="92" customHeight="1">
      <c r="A31" s="9" t="n">
        <v>26</v>
      </c>
      <c r="B31" s="6" t="inlineStr">
        <is>
          <t>Gestione dei file di misura RF e ottici per R&amp;D e produzione</t>
        </is>
      </c>
      <c r="C31" s="6" t="inlineStr">
        <is>
          <t>Laboratori R&amp;D e produzione elettronica</t>
        </is>
      </c>
      <c r="D31" s="6" t="inlineStr">
        <is>
          <t>Altro</t>
        </is>
      </c>
      <c r="E31" s="6" t="inlineStr">
        <is>
          <t>tuo campo</t>
        </is>
      </c>
      <c r="F31" s="10" t="n"/>
      <c r="G31" s="6" t="n"/>
      <c r="H31" s="10" t="n"/>
      <c r="I31" s="11">
        <f>IF(H31&gt;0,ROUND(1000000/H31,0),"")</f>
        <v/>
      </c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4">
        <f>IF(COUNT(K31:R31)=0,"",ROUND(SUMPRODUCT(K31:R31,K$4:R$4)/SUM(K$4:R$4),2))</f>
        <v/>
      </c>
      <c r="T31" s="6" t="inlineStr">
        <is>
          <t>Da studiare</t>
        </is>
      </c>
      <c r="U31" s="6" t="inlineStr">
        <is>
          <t>Solo ipotesi nostra: domanda non verificata. Vantaggio tuo: alto.</t>
        </is>
      </c>
    </row>
    <row r="32" ht="92" customHeight="1">
      <c r="A32" s="9" t="n">
        <v>27</v>
      </c>
      <c r="B32" s="6" t="inlineStr">
        <is>
          <t>Schede di sicurezza e conformità CLP/REACH per chimica e gomma-plastica</t>
        </is>
      </c>
      <c r="C32" s="6" t="inlineStr">
        <is>
          <t>Aziende chimiche e della gomma-plastica</t>
        </is>
      </c>
      <c r="D32" s="6" t="inlineStr">
        <is>
          <t>Altro</t>
        </is>
      </c>
      <c r="E32" s="6" t="inlineStr">
        <is>
          <t>segmenti B2B (non verificati)</t>
        </is>
      </c>
      <c r="F32" s="10" t="n"/>
      <c r="G32" s="6" t="n"/>
      <c r="H32" s="10" t="n"/>
      <c r="I32" s="11">
        <f>IF(H32&gt;0,ROUND(1000000/H32,0),"")</f>
        <v/>
      </c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4">
        <f>IF(COUNT(K32:R32)=0,"",ROUND(SUMPRODUCT(K32:R32,K$4:R$4)/SUM(K$4:R$4),2))</f>
        <v/>
      </c>
      <c r="T32" s="6" t="inlineStr">
        <is>
          <t>Da studiare</t>
        </is>
      </c>
      <c r="U32" s="6" t="inlineStr">
        <is>
          <t>Segnale da verificare: non cercato.</t>
        </is>
      </c>
    </row>
    <row r="33" ht="92" customHeight="1">
      <c r="A33" s="9" t="n">
        <v>28</v>
      </c>
      <c r="B33" s="6" t="inlineStr">
        <is>
          <t>Documentazione elettronica di lotto (batch record) per piccole aziende farmaceutiche/CDMO</t>
        </is>
      </c>
      <c r="C33" s="6" t="inlineStr">
        <is>
          <t>Piccole aziende farmaceutiche e CDMO</t>
        </is>
      </c>
      <c r="D33" s="6" t="inlineStr">
        <is>
          <t>Altro</t>
        </is>
      </c>
      <c r="E33" s="6" t="inlineStr">
        <is>
          <t>segmenti B2B (non verificati)</t>
        </is>
      </c>
      <c r="F33" s="10" t="n"/>
      <c r="G33" s="6" t="n"/>
      <c r="H33" s="10" t="n"/>
      <c r="I33" s="11">
        <f>IF(H33&gt;0,ROUND(1000000/H33,0),"")</f>
        <v/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4">
        <f>IF(COUNT(K33:R33)=0,"",ROUND(SUMPRODUCT(K33:R33,K$4:R$4)/SUM(K$4:R$4),2))</f>
        <v/>
      </c>
      <c r="T33" s="6" t="inlineStr">
        <is>
          <t>Da studiare</t>
        </is>
      </c>
      <c r="U33" s="6" t="inlineStr">
        <is>
          <t>Segnale da verificare: non cercato. Barriera regolatoria alta (GMP).</t>
        </is>
      </c>
    </row>
    <row r="34" ht="92" customHeight="1">
      <c r="A34" s="9" t="n">
        <v>29</v>
      </c>
      <c r="B34" s="6" t="inlineStr">
        <is>
          <t>Formazione e simulazioni di phishing per PMI (obblighi di formazione NIS2)</t>
        </is>
      </c>
      <c r="C34" s="6" t="inlineStr">
        <is>
          <t>PMI</t>
        </is>
      </c>
      <c r="D34" s="6" t="inlineStr">
        <is>
          <t>Obbligo di legge</t>
        </is>
      </c>
      <c r="E34" s="6" t="inlineStr">
        <is>
          <t>Noze; Agenda Digitale</t>
        </is>
      </c>
      <c r="F34" s="10" t="n"/>
      <c r="G34" s="6" t="n"/>
      <c r="H34" s="10" t="n"/>
      <c r="I34" s="11">
        <f>IF(H34&gt;0,ROUND(1000000/H34,0),"")</f>
        <v/>
      </c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4">
        <f>IF(COUNT(K34:R34)=0,"",ROUND(SUMPRODUCT(K34:R34,K$4:R$4)/SUM(K$4:R$4),2))</f>
        <v/>
      </c>
      <c r="T34" s="6" t="inlineStr">
        <is>
          <t>Da studiare</t>
        </is>
      </c>
      <c r="U34" s="6" t="inlineStr">
        <is>
          <t>Segnale verificato in ricerca (stampa di settore). Mercato affollato e a basso prezzo.</t>
        </is>
      </c>
    </row>
    <row r="35" ht="92" customHeight="1">
      <c r="A35" s="9" t="n">
        <v>30</v>
      </c>
      <c r="B35" s="6" t="inlineStr">
        <is>
          <t>Manutenzione predittiva a basso costo per macchine di PMI manifatturiere</t>
        </is>
      </c>
      <c r="C35" s="6" t="inlineStr">
        <is>
          <t>PMI manifatturiere</t>
        </is>
      </c>
      <c r="D35" s="6" t="inlineStr">
        <is>
          <t>Altro</t>
        </is>
      </c>
      <c r="E35" s="6" t="inlineStr">
        <is>
          <t>idea nostra</t>
        </is>
      </c>
      <c r="F35" s="10" t="n"/>
      <c r="G35" s="6" t="n"/>
      <c r="H35" s="10" t="n"/>
      <c r="I35" s="11">
        <f>IF(H35&gt;0,ROUND(1000000/H35,0),"")</f>
        <v/>
      </c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4">
        <f>IF(COUNT(K35:R35)=0,"",ROUND(SUMPRODUCT(K35:R35,K$4:R$4)/SUM(K$4:R$4),2))</f>
        <v/>
      </c>
      <c r="T35" s="6" t="inlineStr">
        <is>
          <t>Da studiare</t>
        </is>
      </c>
      <c r="U35" s="6" t="inlineStr">
        <is>
          <t>Solo ipotesi nostra: domanda non verificata. Concorrenza forte (grandi fornitori).</t>
        </is>
      </c>
    </row>
    <row r="36" ht="92" customHeight="1">
      <c r="A36" s="9" t="n">
        <v>31</v>
      </c>
      <c r="B36" s="6" t="inlineStr">
        <is>
          <t>Gestione documentale per sicurezza prodotti (GPSR) di importatori e venditori online</t>
        </is>
      </c>
      <c r="C36" s="6" t="inlineStr">
        <is>
          <t>Importatori e e-commerce di prodotti per consumatori</t>
        </is>
      </c>
      <c r="D36" s="6" t="inlineStr">
        <is>
          <t>Obbligo di legge</t>
        </is>
      </c>
      <c r="E36" s="6" t="inlineStr">
        <is>
          <t>da cercare</t>
        </is>
      </c>
      <c r="F36" s="10" t="n"/>
      <c r="G36" s="6" t="n"/>
      <c r="H36" s="10" t="n"/>
      <c r="I36" s="11">
        <f>IF(H36&gt;0,ROUND(1000000/H36,0),"")</f>
        <v/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4">
        <f>IF(COUNT(K36:R36)=0,"",ROUND(SUMPRODUCT(K36:R36,K$4:R$4)/SUM(K$4:R$4),2))</f>
        <v/>
      </c>
      <c r="T36" s="6" t="inlineStr">
        <is>
          <t>Da studiare</t>
        </is>
      </c>
      <c r="U36" s="6" t="inlineStr">
        <is>
          <t>Segnale da verificare: non cercato.</t>
        </is>
      </c>
    </row>
    <row r="37">
      <c r="A37" s="9" t="n">
        <v>32</v>
      </c>
      <c r="B37" s="6" t="n"/>
      <c r="C37" s="6" t="n"/>
      <c r="D37" s="6" t="n"/>
      <c r="E37" s="6" t="n"/>
      <c r="F37" s="10" t="n"/>
      <c r="G37" s="6" t="n"/>
      <c r="H37" s="10" t="n"/>
      <c r="I37" s="11">
        <f>IF(H37&gt;0,ROUND(1000000/H37,0),"")</f>
        <v/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4">
        <f>IF(COUNT(K37:R37)=0,"",ROUND(SUMPRODUCT(K37:R37,K$4:R$4)/SUM(K$4:R$4),2))</f>
        <v/>
      </c>
      <c r="T37" s="6" t="n"/>
      <c r="U37" s="6" t="n"/>
    </row>
    <row r="38">
      <c r="A38" s="9" t="n">
        <v>33</v>
      </c>
      <c r="B38" s="6" t="n"/>
      <c r="C38" s="6" t="n"/>
      <c r="D38" s="6" t="n"/>
      <c r="E38" s="6" t="n"/>
      <c r="F38" s="10" t="n"/>
      <c r="G38" s="6" t="n"/>
      <c r="H38" s="10" t="n"/>
      <c r="I38" s="11">
        <f>IF(H38&gt;0,ROUND(1000000/H38,0),"")</f>
        <v/>
      </c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4">
        <f>IF(COUNT(K38:R38)=0,"",ROUND(SUMPRODUCT(K38:R38,K$4:R$4)/SUM(K$4:R$4),2))</f>
        <v/>
      </c>
      <c r="T38" s="6" t="n"/>
      <c r="U38" s="6" t="n"/>
    </row>
    <row r="39">
      <c r="A39" s="9" t="n">
        <v>34</v>
      </c>
      <c r="B39" s="6" t="n"/>
      <c r="C39" s="6" t="n"/>
      <c r="D39" s="6" t="n"/>
      <c r="E39" s="6" t="n"/>
      <c r="F39" s="10" t="n"/>
      <c r="G39" s="6" t="n"/>
      <c r="H39" s="10" t="n"/>
      <c r="I39" s="11">
        <f>IF(H39&gt;0,ROUND(1000000/H39,0),"")</f>
        <v/>
      </c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4">
        <f>IF(COUNT(K39:R39)=0,"",ROUND(SUMPRODUCT(K39:R39,K$4:R$4)/SUM(K$4:R$4),2))</f>
        <v/>
      </c>
      <c r="T39" s="6" t="n"/>
      <c r="U39" s="6" t="n"/>
    </row>
    <row r="40">
      <c r="A40" s="9" t="n">
        <v>35</v>
      </c>
      <c r="B40" s="6" t="n"/>
      <c r="C40" s="6" t="n"/>
      <c r="D40" s="6" t="n"/>
      <c r="E40" s="6" t="n"/>
      <c r="F40" s="10" t="n"/>
      <c r="G40" s="6" t="n"/>
      <c r="H40" s="10" t="n"/>
      <c r="I40" s="11">
        <f>IF(H40&gt;0,ROUND(1000000/H40,0),"")</f>
        <v/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4">
        <f>IF(COUNT(K40:R40)=0,"",ROUND(SUMPRODUCT(K40:R40,K$4:R$4)/SUM(K$4:R$4),2))</f>
        <v/>
      </c>
      <c r="T40" s="6" t="n"/>
      <c r="U40" s="6" t="n"/>
    </row>
    <row r="41">
      <c r="A41" s="9" t="n">
        <v>36</v>
      </c>
      <c r="B41" s="6" t="n"/>
      <c r="C41" s="6" t="n"/>
      <c r="D41" s="6" t="n"/>
      <c r="E41" s="6" t="n"/>
      <c r="F41" s="10" t="n"/>
      <c r="G41" s="6" t="n"/>
      <c r="H41" s="10" t="n"/>
      <c r="I41" s="11">
        <f>IF(H41&gt;0,ROUND(1000000/H41,0),"")</f>
        <v/>
      </c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4">
        <f>IF(COUNT(K41:R41)=0,"",ROUND(SUMPRODUCT(K41:R41,K$4:R$4)/SUM(K$4:R$4),2))</f>
        <v/>
      </c>
      <c r="T41" s="6" t="n"/>
      <c r="U41" s="6" t="n"/>
    </row>
    <row r="42">
      <c r="A42" s="9" t="n">
        <v>37</v>
      </c>
      <c r="B42" s="6" t="n"/>
      <c r="C42" s="6" t="n"/>
      <c r="D42" s="6" t="n"/>
      <c r="E42" s="6" t="n"/>
      <c r="F42" s="10" t="n"/>
      <c r="G42" s="6" t="n"/>
      <c r="H42" s="10" t="n"/>
      <c r="I42" s="11">
        <f>IF(H42&gt;0,ROUND(1000000/H42,0),"")</f>
        <v/>
      </c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4">
        <f>IF(COUNT(K42:R42)=0,"",ROUND(SUMPRODUCT(K42:R42,K$4:R$4)/SUM(K$4:R$4),2))</f>
        <v/>
      </c>
      <c r="T42" s="6" t="n"/>
      <c r="U42" s="6" t="n"/>
    </row>
    <row r="43">
      <c r="A43" s="9" t="n">
        <v>38</v>
      </c>
      <c r="B43" s="6" t="n"/>
      <c r="C43" s="6" t="n"/>
      <c r="D43" s="6" t="n"/>
      <c r="E43" s="6" t="n"/>
      <c r="F43" s="10" t="n"/>
      <c r="G43" s="6" t="n"/>
      <c r="H43" s="10" t="n"/>
      <c r="I43" s="11">
        <f>IF(H43&gt;0,ROUND(1000000/H43,0),"")</f>
        <v/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4">
        <f>IF(COUNT(K43:R43)=0,"",ROUND(SUMPRODUCT(K43:R43,K$4:R$4)/SUM(K$4:R$4),2))</f>
        <v/>
      </c>
      <c r="T43" s="6" t="n"/>
      <c r="U43" s="6" t="n"/>
    </row>
    <row r="44">
      <c r="A44" s="9" t="n">
        <v>39</v>
      </c>
      <c r="B44" s="6" t="n"/>
      <c r="C44" s="6" t="n"/>
      <c r="D44" s="6" t="n"/>
      <c r="E44" s="6" t="n"/>
      <c r="F44" s="10" t="n"/>
      <c r="G44" s="6" t="n"/>
      <c r="H44" s="10" t="n"/>
      <c r="I44" s="11">
        <f>IF(H44&gt;0,ROUND(1000000/H44,0),"")</f>
        <v/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4">
        <f>IF(COUNT(K44:R44)=0,"",ROUND(SUMPRODUCT(K44:R44,K$4:R$4)/SUM(K$4:R$4),2))</f>
        <v/>
      </c>
      <c r="T44" s="6" t="n"/>
      <c r="U44" s="6" t="n"/>
    </row>
    <row r="45">
      <c r="A45" s="9" t="n">
        <v>40</v>
      </c>
      <c r="B45" s="6" t="n"/>
      <c r="C45" s="6" t="n"/>
      <c r="D45" s="6" t="n"/>
      <c r="E45" s="6" t="n"/>
      <c r="F45" s="10" t="n"/>
      <c r="G45" s="6" t="n"/>
      <c r="H45" s="10" t="n"/>
      <c r="I45" s="11">
        <f>IF(H45&gt;0,ROUND(1000000/H45,0),"")</f>
        <v/>
      </c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4">
        <f>IF(COUNT(K45:R45)=0,"",ROUND(SUMPRODUCT(K45:R45,K$4:R$4)/SUM(K$4:R$4),2))</f>
        <v/>
      </c>
      <c r="T45" s="6" t="n"/>
      <c r="U45" s="6" t="n"/>
    </row>
    <row r="46">
      <c r="A46" s="9" t="n">
        <v>41</v>
      </c>
      <c r="B46" s="6" t="n"/>
      <c r="C46" s="6" t="n"/>
      <c r="D46" s="6" t="n"/>
      <c r="E46" s="6" t="n"/>
      <c r="F46" s="10" t="n"/>
      <c r="G46" s="6" t="n"/>
      <c r="H46" s="10" t="n"/>
      <c r="I46" s="11">
        <f>IF(H46&gt;0,ROUND(1000000/H46,0),"")</f>
        <v/>
      </c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4">
        <f>IF(COUNT(K46:R46)=0,"",ROUND(SUMPRODUCT(K46:R46,K$4:R$4)/SUM(K$4:R$4),2))</f>
        <v/>
      </c>
      <c r="T46" s="6" t="n"/>
      <c r="U46" s="6" t="n"/>
    </row>
    <row r="47">
      <c r="A47" s="9" t="n">
        <v>42</v>
      </c>
      <c r="B47" s="6" t="n"/>
      <c r="C47" s="6" t="n"/>
      <c r="D47" s="6" t="n"/>
      <c r="E47" s="6" t="n"/>
      <c r="F47" s="10" t="n"/>
      <c r="G47" s="6" t="n"/>
      <c r="H47" s="10" t="n"/>
      <c r="I47" s="11">
        <f>IF(H47&gt;0,ROUND(1000000/H47,0),"")</f>
        <v/>
      </c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4">
        <f>IF(COUNT(K47:R47)=0,"",ROUND(SUMPRODUCT(K47:R47,K$4:R$4)/SUM(K$4:R$4),2))</f>
        <v/>
      </c>
      <c r="T47" s="6" t="n"/>
      <c r="U47" s="6" t="n"/>
    </row>
    <row r="48">
      <c r="A48" s="9" t="n">
        <v>43</v>
      </c>
      <c r="B48" s="6" t="n"/>
      <c r="C48" s="6" t="n"/>
      <c r="D48" s="6" t="n"/>
      <c r="E48" s="6" t="n"/>
      <c r="F48" s="10" t="n"/>
      <c r="G48" s="6" t="n"/>
      <c r="H48" s="10" t="n"/>
      <c r="I48" s="11">
        <f>IF(H48&gt;0,ROUND(1000000/H48,0),"")</f>
        <v/>
      </c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4">
        <f>IF(COUNT(K48:R48)=0,"",ROUND(SUMPRODUCT(K48:R48,K$4:R$4)/SUM(K$4:R$4),2))</f>
        <v/>
      </c>
      <c r="T48" s="6" t="n"/>
      <c r="U48" s="6" t="n"/>
    </row>
    <row r="49">
      <c r="A49" s="9" t="n">
        <v>44</v>
      </c>
      <c r="B49" s="6" t="n"/>
      <c r="C49" s="6" t="n"/>
      <c r="D49" s="6" t="n"/>
      <c r="E49" s="6" t="n"/>
      <c r="F49" s="10" t="n"/>
      <c r="G49" s="6" t="n"/>
      <c r="H49" s="10" t="n"/>
      <c r="I49" s="11">
        <f>IF(H49&gt;0,ROUND(1000000/H49,0),"")</f>
        <v/>
      </c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4">
        <f>IF(COUNT(K49:R49)=0,"",ROUND(SUMPRODUCT(K49:R49,K$4:R$4)/SUM(K$4:R$4),2))</f>
        <v/>
      </c>
      <c r="T49" s="6" t="n"/>
      <c r="U49" s="6" t="n"/>
    </row>
    <row r="50">
      <c r="A50" s="9" t="n">
        <v>45</v>
      </c>
      <c r="B50" s="6" t="n"/>
      <c r="C50" s="6" t="n"/>
      <c r="D50" s="6" t="n"/>
      <c r="E50" s="6" t="n"/>
      <c r="F50" s="10" t="n"/>
      <c r="G50" s="6" t="n"/>
      <c r="H50" s="10" t="n"/>
      <c r="I50" s="11">
        <f>IF(H50&gt;0,ROUND(1000000/H50,0),"")</f>
        <v/>
      </c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4">
        <f>IF(COUNT(K50:R50)=0,"",ROUND(SUMPRODUCT(K50:R50,K$4:R$4)/SUM(K$4:R$4),2))</f>
        <v/>
      </c>
      <c r="T50" s="6" t="n"/>
      <c r="U50" s="6" t="n"/>
    </row>
    <row r="51">
      <c r="A51" s="9" t="n">
        <v>46</v>
      </c>
      <c r="B51" s="6" t="n"/>
      <c r="C51" s="6" t="n"/>
      <c r="D51" s="6" t="n"/>
      <c r="E51" s="6" t="n"/>
      <c r="F51" s="10" t="n"/>
      <c r="G51" s="6" t="n"/>
      <c r="H51" s="10" t="n"/>
      <c r="I51" s="11">
        <f>IF(H51&gt;0,ROUND(1000000/H51,0),"")</f>
        <v/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4">
        <f>IF(COUNT(K51:R51)=0,"",ROUND(SUMPRODUCT(K51:R51,K$4:R$4)/SUM(K$4:R$4),2))</f>
        <v/>
      </c>
      <c r="T51" s="6" t="n"/>
      <c r="U51" s="6" t="n"/>
    </row>
    <row r="52">
      <c r="A52" s="9" t="n">
        <v>47</v>
      </c>
      <c r="B52" s="6" t="n"/>
      <c r="C52" s="6" t="n"/>
      <c r="D52" s="6" t="n"/>
      <c r="E52" s="6" t="n"/>
      <c r="F52" s="10" t="n"/>
      <c r="G52" s="6" t="n"/>
      <c r="H52" s="10" t="n"/>
      <c r="I52" s="11">
        <f>IF(H52&gt;0,ROUND(1000000/H52,0),"")</f>
        <v/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4">
        <f>IF(COUNT(K52:R52)=0,"",ROUND(SUMPRODUCT(K52:R52,K$4:R$4)/SUM(K$4:R$4),2))</f>
        <v/>
      </c>
      <c r="T52" s="6" t="n"/>
      <c r="U52" s="6" t="n"/>
    </row>
    <row r="53">
      <c r="A53" s="9" t="n">
        <v>48</v>
      </c>
      <c r="B53" s="6" t="n"/>
      <c r="C53" s="6" t="n"/>
      <c r="D53" s="6" t="n"/>
      <c r="E53" s="6" t="n"/>
      <c r="F53" s="10" t="n"/>
      <c r="G53" s="6" t="n"/>
      <c r="H53" s="10" t="n"/>
      <c r="I53" s="11">
        <f>IF(H53&gt;0,ROUND(1000000/H53,0),"")</f>
        <v/>
      </c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4">
        <f>IF(COUNT(K53:R53)=0,"",ROUND(SUMPRODUCT(K53:R53,K$4:R$4)/SUM(K$4:R$4),2))</f>
        <v/>
      </c>
      <c r="T53" s="6" t="n"/>
      <c r="U53" s="6" t="n"/>
    </row>
    <row r="54">
      <c r="A54" s="9" t="n">
        <v>49</v>
      </c>
      <c r="B54" s="6" t="n"/>
      <c r="C54" s="6" t="n"/>
      <c r="D54" s="6" t="n"/>
      <c r="E54" s="6" t="n"/>
      <c r="F54" s="10" t="n"/>
      <c r="G54" s="6" t="n"/>
      <c r="H54" s="10" t="n"/>
      <c r="I54" s="11">
        <f>IF(H54&gt;0,ROUND(1000000/H54,0),"")</f>
        <v/>
      </c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4">
        <f>IF(COUNT(K54:R54)=0,"",ROUND(SUMPRODUCT(K54:R54,K$4:R$4)/SUM(K$4:R$4),2))</f>
        <v/>
      </c>
      <c r="T54" s="6" t="n"/>
      <c r="U54" s="6" t="n"/>
    </row>
    <row r="55">
      <c r="A55" s="9" t="n">
        <v>50</v>
      </c>
      <c r="B55" s="6" t="n"/>
      <c r="C55" s="6" t="n"/>
      <c r="D55" s="6" t="n"/>
      <c r="E55" s="6" t="n"/>
      <c r="F55" s="10" t="n"/>
      <c r="G55" s="6" t="n"/>
      <c r="H55" s="10" t="n"/>
      <c r="I55" s="11">
        <f>IF(H55&gt;0,ROUND(1000000/H55,0),"")</f>
        <v/>
      </c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4">
        <f>IF(COUNT(K55:R55)=0,"",ROUND(SUMPRODUCT(K55:R55,K$4:R$4)/SUM(K$4:R$4),2))</f>
        <v/>
      </c>
      <c r="T55" s="6" t="n"/>
      <c r="U55" s="6" t="n"/>
    </row>
    <row r="56">
      <c r="A56" s="9" t="n">
        <v>51</v>
      </c>
      <c r="B56" s="6" t="n"/>
      <c r="C56" s="6" t="n"/>
      <c r="D56" s="6" t="n"/>
      <c r="E56" s="6" t="n"/>
      <c r="F56" s="10" t="n"/>
      <c r="G56" s="6" t="n"/>
      <c r="H56" s="10" t="n"/>
      <c r="I56" s="11">
        <f>IF(H56&gt;0,ROUND(1000000/H56,0),"")</f>
        <v/>
      </c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4">
        <f>IF(COUNT(K56:R56)=0,"",ROUND(SUMPRODUCT(K56:R56,K$4:R$4)/SUM(K$4:R$4),2))</f>
        <v/>
      </c>
      <c r="T56" s="6" t="n"/>
      <c r="U56" s="6" t="n"/>
    </row>
    <row r="57">
      <c r="A57" s="9" t="n">
        <v>52</v>
      </c>
      <c r="B57" s="6" t="n"/>
      <c r="C57" s="6" t="n"/>
      <c r="D57" s="6" t="n"/>
      <c r="E57" s="6" t="n"/>
      <c r="F57" s="10" t="n"/>
      <c r="G57" s="6" t="n"/>
      <c r="H57" s="10" t="n"/>
      <c r="I57" s="11">
        <f>IF(H57&gt;0,ROUND(1000000/H57,0),"")</f>
        <v/>
      </c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4">
        <f>IF(COUNT(K57:R57)=0,"",ROUND(SUMPRODUCT(K57:R57,K$4:R$4)/SUM(K$4:R$4),2))</f>
        <v/>
      </c>
      <c r="T57" s="6" t="n"/>
      <c r="U57" s="6" t="n"/>
    </row>
    <row r="58">
      <c r="A58" s="9" t="n">
        <v>53</v>
      </c>
      <c r="B58" s="6" t="n"/>
      <c r="C58" s="6" t="n"/>
      <c r="D58" s="6" t="n"/>
      <c r="E58" s="6" t="n"/>
      <c r="F58" s="10" t="n"/>
      <c r="G58" s="6" t="n"/>
      <c r="H58" s="10" t="n"/>
      <c r="I58" s="11">
        <f>IF(H58&gt;0,ROUND(1000000/H58,0),"")</f>
        <v/>
      </c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4">
        <f>IF(COUNT(K58:R58)=0,"",ROUND(SUMPRODUCT(K58:R58,K$4:R$4)/SUM(K$4:R$4),2))</f>
        <v/>
      </c>
      <c r="T58" s="6" t="n"/>
      <c r="U58" s="6" t="n"/>
    </row>
    <row r="59">
      <c r="A59" s="9" t="n">
        <v>54</v>
      </c>
      <c r="B59" s="6" t="n"/>
      <c r="C59" s="6" t="n"/>
      <c r="D59" s="6" t="n"/>
      <c r="E59" s="6" t="n"/>
      <c r="F59" s="10" t="n"/>
      <c r="G59" s="6" t="n"/>
      <c r="H59" s="10" t="n"/>
      <c r="I59" s="11">
        <f>IF(H59&gt;0,ROUND(1000000/H59,0),"")</f>
        <v/>
      </c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4">
        <f>IF(COUNT(K59:R59)=0,"",ROUND(SUMPRODUCT(K59:R59,K$4:R$4)/SUM(K$4:R$4),2))</f>
        <v/>
      </c>
      <c r="T59" s="6" t="n"/>
      <c r="U59" s="6" t="n"/>
    </row>
    <row r="60">
      <c r="A60" s="9" t="n">
        <v>55</v>
      </c>
      <c r="B60" s="6" t="n"/>
      <c r="C60" s="6" t="n"/>
      <c r="D60" s="6" t="n"/>
      <c r="E60" s="6" t="n"/>
      <c r="F60" s="10" t="n"/>
      <c r="G60" s="6" t="n"/>
      <c r="H60" s="10" t="n"/>
      <c r="I60" s="11">
        <f>IF(H60&gt;0,ROUND(1000000/H60,0),"")</f>
        <v/>
      </c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4">
        <f>IF(COUNT(K60:R60)=0,"",ROUND(SUMPRODUCT(K60:R60,K$4:R$4)/SUM(K$4:R$4),2))</f>
        <v/>
      </c>
      <c r="T60" s="6" t="n"/>
      <c r="U60" s="6" t="n"/>
    </row>
    <row r="61">
      <c r="A61" s="9" t="n">
        <v>56</v>
      </c>
      <c r="B61" s="6" t="n"/>
      <c r="C61" s="6" t="n"/>
      <c r="D61" s="6" t="n"/>
      <c r="E61" s="6" t="n"/>
      <c r="F61" s="10" t="n"/>
      <c r="G61" s="6" t="n"/>
      <c r="H61" s="10" t="n"/>
      <c r="I61" s="11">
        <f>IF(H61&gt;0,ROUND(1000000/H61,0),"")</f>
        <v/>
      </c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4">
        <f>IF(COUNT(K61:R61)=0,"",ROUND(SUMPRODUCT(K61:R61,K$4:R$4)/SUM(K$4:R$4),2))</f>
        <v/>
      </c>
      <c r="T61" s="6" t="n"/>
      <c r="U61" s="6" t="n"/>
    </row>
    <row r="62">
      <c r="A62" s="9" t="n">
        <v>57</v>
      </c>
      <c r="B62" s="6" t="n"/>
      <c r="C62" s="6" t="n"/>
      <c r="D62" s="6" t="n"/>
      <c r="E62" s="6" t="n"/>
      <c r="F62" s="10" t="n"/>
      <c r="G62" s="6" t="n"/>
      <c r="H62" s="10" t="n"/>
      <c r="I62" s="11">
        <f>IF(H62&gt;0,ROUND(1000000/H62,0),"")</f>
        <v/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4">
        <f>IF(COUNT(K62:R62)=0,"",ROUND(SUMPRODUCT(K62:R62,K$4:R$4)/SUM(K$4:R$4),2))</f>
        <v/>
      </c>
      <c r="T62" s="6" t="n"/>
      <c r="U62" s="6" t="n"/>
    </row>
    <row r="63">
      <c r="A63" s="9" t="n">
        <v>58</v>
      </c>
      <c r="B63" s="6" t="n"/>
      <c r="C63" s="6" t="n"/>
      <c r="D63" s="6" t="n"/>
      <c r="E63" s="6" t="n"/>
      <c r="F63" s="10" t="n"/>
      <c r="G63" s="6" t="n"/>
      <c r="H63" s="10" t="n"/>
      <c r="I63" s="11">
        <f>IF(H63&gt;0,ROUND(1000000/H63,0),"")</f>
        <v/>
      </c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4">
        <f>IF(COUNT(K63:R63)=0,"",ROUND(SUMPRODUCT(K63:R63,K$4:R$4)/SUM(K$4:R$4),2))</f>
        <v/>
      </c>
      <c r="T63" s="6" t="n"/>
      <c r="U63" s="6" t="n"/>
    </row>
    <row r="64">
      <c r="A64" s="9" t="n">
        <v>59</v>
      </c>
      <c r="B64" s="6" t="n"/>
      <c r="C64" s="6" t="n"/>
      <c r="D64" s="6" t="n"/>
      <c r="E64" s="6" t="n"/>
      <c r="F64" s="10" t="n"/>
      <c r="G64" s="6" t="n"/>
      <c r="H64" s="10" t="n"/>
      <c r="I64" s="11">
        <f>IF(H64&gt;0,ROUND(1000000/H64,0),"")</f>
        <v/>
      </c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4">
        <f>IF(COUNT(K64:R64)=0,"",ROUND(SUMPRODUCT(K64:R64,K$4:R$4)/SUM(K$4:R$4),2))</f>
        <v/>
      </c>
      <c r="T64" s="6" t="n"/>
      <c r="U64" s="6" t="n"/>
    </row>
    <row r="65">
      <c r="A65" s="9" t="n">
        <v>60</v>
      </c>
      <c r="B65" s="6" t="n"/>
      <c r="C65" s="6" t="n"/>
      <c r="D65" s="6" t="n"/>
      <c r="E65" s="6" t="n"/>
      <c r="F65" s="10" t="n"/>
      <c r="G65" s="6" t="n"/>
      <c r="H65" s="10" t="n"/>
      <c r="I65" s="11">
        <f>IF(H65&gt;0,ROUND(1000000/H65,0),"")</f>
        <v/>
      </c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4">
        <f>IF(COUNT(K65:R65)=0,"",ROUND(SUMPRODUCT(K65:R65,K$4:R$4)/SUM(K$4:R$4),2))</f>
        <v/>
      </c>
      <c r="T65" s="6" t="n"/>
      <c r="U65" s="6" t="n"/>
    </row>
    <row r="66">
      <c r="A66" s="9" t="n">
        <v>61</v>
      </c>
      <c r="B66" s="6" t="n"/>
      <c r="C66" s="6" t="n"/>
      <c r="D66" s="6" t="n"/>
      <c r="E66" s="6" t="n"/>
      <c r="F66" s="10" t="n"/>
      <c r="G66" s="6" t="n"/>
      <c r="H66" s="10" t="n"/>
      <c r="I66" s="11">
        <f>IF(H66&gt;0,ROUND(1000000/H66,0),"")</f>
        <v/>
      </c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4">
        <f>IF(COUNT(K66:R66)=0,"",ROUND(SUMPRODUCT(K66:R66,K$4:R$4)/SUM(K$4:R$4),2))</f>
        <v/>
      </c>
      <c r="T66" s="6" t="n"/>
      <c r="U66" s="6" t="n"/>
    </row>
    <row r="67">
      <c r="A67" s="9" t="n">
        <v>62</v>
      </c>
      <c r="B67" s="6" t="n"/>
      <c r="C67" s="6" t="n"/>
      <c r="D67" s="6" t="n"/>
      <c r="E67" s="6" t="n"/>
      <c r="F67" s="10" t="n"/>
      <c r="G67" s="6" t="n"/>
      <c r="H67" s="10" t="n"/>
      <c r="I67" s="11">
        <f>IF(H67&gt;0,ROUND(1000000/H67,0),"")</f>
        <v/>
      </c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4">
        <f>IF(COUNT(K67:R67)=0,"",ROUND(SUMPRODUCT(K67:R67,K$4:R$4)/SUM(K$4:R$4),2))</f>
        <v/>
      </c>
      <c r="T67" s="6" t="n"/>
      <c r="U67" s="6" t="n"/>
    </row>
    <row r="68">
      <c r="A68" s="9" t="n">
        <v>63</v>
      </c>
      <c r="B68" s="6" t="n"/>
      <c r="C68" s="6" t="n"/>
      <c r="D68" s="6" t="n"/>
      <c r="E68" s="6" t="n"/>
      <c r="F68" s="10" t="n"/>
      <c r="G68" s="6" t="n"/>
      <c r="H68" s="10" t="n"/>
      <c r="I68" s="11">
        <f>IF(H68&gt;0,ROUND(1000000/H68,0),"")</f>
        <v/>
      </c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4">
        <f>IF(COUNT(K68:R68)=0,"",ROUND(SUMPRODUCT(K68:R68,K$4:R$4)/SUM(K$4:R$4),2))</f>
        <v/>
      </c>
      <c r="T68" s="6" t="n"/>
      <c r="U68" s="6" t="n"/>
    </row>
    <row r="69">
      <c r="A69" s="9" t="n">
        <v>64</v>
      </c>
      <c r="B69" s="6" t="n"/>
      <c r="C69" s="6" t="n"/>
      <c r="D69" s="6" t="n"/>
      <c r="E69" s="6" t="n"/>
      <c r="F69" s="10" t="n"/>
      <c r="G69" s="6" t="n"/>
      <c r="H69" s="10" t="n"/>
      <c r="I69" s="11">
        <f>IF(H69&gt;0,ROUND(1000000/H69,0),"")</f>
        <v/>
      </c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4">
        <f>IF(COUNT(K69:R69)=0,"",ROUND(SUMPRODUCT(K69:R69,K$4:R$4)/SUM(K$4:R$4),2))</f>
        <v/>
      </c>
      <c r="T69" s="6" t="n"/>
      <c r="U69" s="6" t="n"/>
    </row>
    <row r="70">
      <c r="A70" s="9" t="n">
        <v>65</v>
      </c>
      <c r="B70" s="6" t="n"/>
      <c r="C70" s="6" t="n"/>
      <c r="D70" s="6" t="n"/>
      <c r="E70" s="6" t="n"/>
      <c r="F70" s="10" t="n"/>
      <c r="G70" s="6" t="n"/>
      <c r="H70" s="10" t="n"/>
      <c r="I70" s="11">
        <f>IF(H70&gt;0,ROUND(1000000/H70,0),"")</f>
        <v/>
      </c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4">
        <f>IF(COUNT(K70:R70)=0,"",ROUND(SUMPRODUCT(K70:R70,K$4:R$4)/SUM(K$4:R$4),2))</f>
        <v/>
      </c>
      <c r="T70" s="6" t="n"/>
      <c r="U70" s="6" t="n"/>
    </row>
    <row r="71">
      <c r="A71" s="9" t="n">
        <v>66</v>
      </c>
      <c r="B71" s="6" t="n"/>
      <c r="C71" s="6" t="n"/>
      <c r="D71" s="6" t="n"/>
      <c r="E71" s="6" t="n"/>
      <c r="F71" s="10" t="n"/>
      <c r="G71" s="6" t="n"/>
      <c r="H71" s="10" t="n"/>
      <c r="I71" s="11">
        <f>IF(H71&gt;0,ROUND(1000000/H71,0),"")</f>
        <v/>
      </c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4">
        <f>IF(COUNT(K71:R71)=0,"",ROUND(SUMPRODUCT(K71:R71,K$4:R$4)/SUM(K$4:R$4),2))</f>
        <v/>
      </c>
      <c r="T71" s="6" t="n"/>
      <c r="U71" s="6" t="n"/>
    </row>
    <row r="72">
      <c r="A72" s="9" t="n">
        <v>67</v>
      </c>
      <c r="B72" s="6" t="n"/>
      <c r="C72" s="6" t="n"/>
      <c r="D72" s="6" t="n"/>
      <c r="E72" s="6" t="n"/>
      <c r="F72" s="10" t="n"/>
      <c r="G72" s="6" t="n"/>
      <c r="H72" s="10" t="n"/>
      <c r="I72" s="11">
        <f>IF(H72&gt;0,ROUND(1000000/H72,0),"")</f>
        <v/>
      </c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4">
        <f>IF(COUNT(K72:R72)=0,"",ROUND(SUMPRODUCT(K72:R72,K$4:R$4)/SUM(K$4:R$4),2))</f>
        <v/>
      </c>
      <c r="T72" s="6" t="n"/>
      <c r="U72" s="6" t="n"/>
    </row>
    <row r="73">
      <c r="A73" s="9" t="n">
        <v>68</v>
      </c>
      <c r="B73" s="6" t="n"/>
      <c r="C73" s="6" t="n"/>
      <c r="D73" s="6" t="n"/>
      <c r="E73" s="6" t="n"/>
      <c r="F73" s="10" t="n"/>
      <c r="G73" s="6" t="n"/>
      <c r="H73" s="10" t="n"/>
      <c r="I73" s="11">
        <f>IF(H73&gt;0,ROUND(1000000/H73,0),"")</f>
        <v/>
      </c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4">
        <f>IF(COUNT(K73:R73)=0,"",ROUND(SUMPRODUCT(K73:R73,K$4:R$4)/SUM(K$4:R$4),2))</f>
        <v/>
      </c>
      <c r="T73" s="6" t="n"/>
      <c r="U73" s="6" t="n"/>
    </row>
    <row r="74">
      <c r="A74" s="9" t="n">
        <v>69</v>
      </c>
      <c r="B74" s="6" t="n"/>
      <c r="C74" s="6" t="n"/>
      <c r="D74" s="6" t="n"/>
      <c r="E74" s="6" t="n"/>
      <c r="F74" s="10" t="n"/>
      <c r="G74" s="6" t="n"/>
      <c r="H74" s="10" t="n"/>
      <c r="I74" s="11">
        <f>IF(H74&gt;0,ROUND(1000000/H74,0),"")</f>
        <v/>
      </c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4">
        <f>IF(COUNT(K74:R74)=0,"",ROUND(SUMPRODUCT(K74:R74,K$4:R$4)/SUM(K$4:R$4),2))</f>
        <v/>
      </c>
      <c r="T74" s="6" t="n"/>
      <c r="U74" s="6" t="n"/>
    </row>
    <row r="75">
      <c r="A75" s="9" t="n">
        <v>70</v>
      </c>
      <c r="B75" s="6" t="n"/>
      <c r="C75" s="6" t="n"/>
      <c r="D75" s="6" t="n"/>
      <c r="E75" s="6" t="n"/>
      <c r="F75" s="10" t="n"/>
      <c r="G75" s="6" t="n"/>
      <c r="H75" s="10" t="n"/>
      <c r="I75" s="11">
        <f>IF(H75&gt;0,ROUND(1000000/H75,0),"")</f>
        <v/>
      </c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4">
        <f>IF(COUNT(K75:R75)=0,"",ROUND(SUMPRODUCT(K75:R75,K$4:R$4)/SUM(K$4:R$4),2))</f>
        <v/>
      </c>
      <c r="T75" s="6" t="n"/>
      <c r="U75" s="6" t="n"/>
    </row>
  </sheetData>
  <autoFilter ref="A5:U75"/>
  <mergeCells count="1">
    <mergeCell ref="A2:V2"/>
  </mergeCells>
  <dataValidations count="3">
    <dataValidation sqref="D6:D75" showDropDown="0" showInputMessage="0" showErrorMessage="0" allowBlank="1" type="list">
      <formula1>"Obbligo di legge,Incentivi / fondi,Annunci di lavoro,Recensioni negative,Acquisizioni di verticali,Forum / community,Altro"</formula1>
    </dataValidation>
    <dataValidation sqref="T6:T75" showDropDown="0" showInputMessage="0" showErrorMessage="0" allowBlank="1" type="list">
      <formula1>"Da studiare,In studio,Da intervistare,Intervistata,Scartata,Scelta"</formula1>
    </dataValidation>
    <dataValidation sqref="K6:R75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5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60" customWidth="1" min="14" max="14"/>
  </cols>
  <sheetData>
    <row r="1">
      <c r="A1" s="1" t="inlineStr">
        <is>
          <t>Fase 2 — dimensione dei mercati e quota necessaria per 1 M€ di ricavi (solo Italia)</t>
        </is>
      </c>
    </row>
    <row r="2" ht="44" customHeight="1">
      <c r="A2" s="2" t="inlineStr">
        <is>
          <t>Numero di aziende: da fonti dove esistono, altrimenti ipotesi mie, con affidabilità indicata. I PREZZI SONO IPOTESI da validare nelle interviste. Le celle in blu si possono cambiare. 'Quota necessaria' = clienti per 1 M€ diviso aziende target: sopra circa il 10% il mercato italiano è troppo piccolo.</t>
        </is>
      </c>
    </row>
    <row r="4">
      <c r="A4" s="7" t="inlineStr">
        <is>
          <t>Margine operativo ipotizzato</t>
        </is>
      </c>
      <c r="B4" s="12" t="n">
        <v>0.7</v>
      </c>
    </row>
    <row r="5">
      <c r="A5" s="7" t="inlineStr">
        <is>
          <t>Tassazione combinata (società + dividendi)</t>
        </is>
      </c>
      <c r="B5" s="13" t="n">
        <v>0.465</v>
      </c>
    </row>
    <row r="6">
      <c r="A6" s="7" t="inlineStr">
        <is>
          <t>Obiettivo netto mensile (€)</t>
        </is>
      </c>
      <c r="B6" s="14" t="n">
        <v>30000</v>
      </c>
    </row>
    <row r="7">
      <c r="A7" s="7" t="inlineStr">
        <is>
          <t>Netto mensile con 1 M€ di ricavi (€)</t>
        </is>
      </c>
      <c r="B7" s="15">
        <f>ROUND(1000000*B4*(1-B5)/12,0)</f>
        <v/>
      </c>
    </row>
    <row r="8">
      <c r="A8" s="7" t="inlineStr">
        <is>
          <t>Ricavi annui necessari per l'obiettivo (€)</t>
        </is>
      </c>
      <c r="B8" s="15">
        <f>ROUND(B6*12/(B4*(1-B5)),0)</f>
        <v/>
      </c>
    </row>
    <row r="10" ht="48" customHeight="1">
      <c r="A10" s="3" t="inlineStr">
        <is>
          <t>Nicchia</t>
        </is>
      </c>
      <c r="B10" s="3" t="inlineStr">
        <is>
          <t>Aziende target (bassa)</t>
        </is>
      </c>
      <c r="C10" s="3" t="inlineStr">
        <is>
          <t>Aziende target (base)</t>
        </is>
      </c>
      <c r="D10" s="3" t="inlineStr">
        <is>
          <t>Aziende target (alta)</t>
        </is>
      </c>
      <c r="E10" s="3" t="inlineStr">
        <is>
          <t>Fonte della stima</t>
        </is>
      </c>
      <c r="F10" s="3" t="inlineStr">
        <is>
          <t>Affidabilità</t>
        </is>
      </c>
      <c r="G10" s="3" t="inlineStr">
        <is>
          <t>Prezzo annuo (bassa) €</t>
        </is>
      </c>
      <c r="H10" s="3" t="inlineStr">
        <is>
          <t>Prezzo annuo (base) €</t>
        </is>
      </c>
      <c r="I10" s="3" t="inlineStr">
        <is>
          <t>Prezzo annuo (alta) €</t>
        </is>
      </c>
      <c r="J10" s="3" t="inlineStr">
        <is>
          <t>Clienti per 1 M€ (base)</t>
        </is>
      </c>
      <c r="K10" s="3" t="inlineStr">
        <is>
          <t>Quota necessaria (base)</t>
        </is>
      </c>
      <c r="L10" s="3" t="inlineStr">
        <is>
          <t>Quota (caso favorevole)</t>
        </is>
      </c>
      <c r="M10" s="3" t="inlineStr">
        <is>
          <t>Quota (caso sfavorevole)</t>
        </is>
      </c>
      <c r="N10" s="3" t="inlineStr">
        <is>
          <t>Lettura</t>
        </is>
      </c>
    </row>
    <row r="11" ht="58" customHeight="1">
      <c r="A11" s="4" t="inlineStr">
        <is>
          <t>NIS2 per PMI</t>
        </is>
      </c>
      <c r="B11" s="10" t="n">
        <v>10000</v>
      </c>
      <c r="C11" s="10" t="n">
        <v>20000</v>
      </c>
      <c r="D11" s="10" t="n">
        <v>50000</v>
      </c>
      <c r="E11" s="5" t="inlineStr">
        <is>
          <t>Stampa di settore: 20.000–50.000 enti potenzialmente coinvolti (non registrati)</t>
        </is>
      </c>
      <c r="F11" s="5" t="inlineStr">
        <is>
          <t>Media</t>
        </is>
      </c>
      <c r="G11" s="10" t="n">
        <v>600</v>
      </c>
      <c r="H11" s="10" t="n">
        <v>1500</v>
      </c>
      <c r="I11" s="10" t="n">
        <v>4000</v>
      </c>
      <c r="J11" s="11">
        <f>ROUND(1000000/H11,0)</f>
        <v/>
      </c>
      <c r="K11" s="16">
        <f>J11/C11</f>
        <v/>
      </c>
      <c r="L11" s="17">
        <f>(1000000/I11)/D11</f>
        <v/>
      </c>
      <c r="M11" s="17">
        <f>(1000000/G11)/B11</f>
        <v/>
      </c>
      <c r="N11" s="5" t="inlineStr">
        <is>
          <t>Base ampia, ma mercato affollato di consulenti: serve un canale forte.</t>
        </is>
      </c>
    </row>
    <row r="12" ht="58" customHeight="1">
      <c r="A12" s="4" t="inlineStr">
        <is>
          <t>NIS2 per MSP e consulenti</t>
        </is>
      </c>
      <c r="B12" s="10" t="n">
        <v>2000</v>
      </c>
      <c r="C12" s="10" t="n">
        <v>5000</v>
      </c>
      <c r="D12" s="10" t="n">
        <v>10000</v>
      </c>
      <c r="E12" s="5" t="inlineStr">
        <is>
          <t>Mia ipotesi: numero di MSP e studi di consulenza IT rilevanti (nessun dato trovato)</t>
        </is>
      </c>
      <c r="F12" s="5" t="inlineStr">
        <is>
          <t>Bassa</t>
        </is>
      </c>
      <c r="G12" s="10" t="n">
        <v>1200</v>
      </c>
      <c r="H12" s="10" t="n">
        <v>2400</v>
      </c>
      <c r="I12" s="10" t="n">
        <v>6000</v>
      </c>
      <c r="J12" s="11">
        <f>ROUND(1000000/H12,0)</f>
        <v/>
      </c>
      <c r="K12" s="16">
        <f>J12/C12</f>
        <v/>
      </c>
      <c r="L12" s="17">
        <f>(1000000/I12)/D12</f>
        <v/>
      </c>
      <c r="M12" s="17">
        <f>(1000000/G12)/B12</f>
        <v/>
      </c>
      <c r="N12" s="5" t="inlineStr">
        <is>
          <t>Vendi al canale: meno clienti ma con più aziende ciascuno. Da confrontare con le piattaforme esistenti.</t>
        </is>
      </c>
    </row>
    <row r="13" ht="58" customHeight="1">
      <c r="A13" s="4" t="inlineStr">
        <is>
          <t>Cyber Resilience Act</t>
        </is>
      </c>
      <c r="B13" s="10" t="n">
        <v>1100</v>
      </c>
      <c r="C13" s="10" t="n">
        <v>3000</v>
      </c>
      <c r="D13" s="10" t="n">
        <v>8000</v>
      </c>
      <c r="E13" s="5" t="inlineStr">
        <is>
          <t>ANIE: ~1.100 aziende associate (altre fonti: 1.600); più costruttori con software. Perimetro CRA non trovato</t>
        </is>
      </c>
      <c r="F13" s="5" t="inlineStr">
        <is>
          <t>Bassa</t>
        </is>
      </c>
      <c r="G13" s="10" t="n">
        <v>1500</v>
      </c>
      <c r="H13" s="10" t="n">
        <v>3000</v>
      </c>
      <c r="I13" s="10" t="n">
        <v>6000</v>
      </c>
      <c r="J13" s="11">
        <f>ROUND(1000000/H13,0)</f>
        <v/>
      </c>
      <c r="K13" s="16">
        <f>J13/C13</f>
        <v/>
      </c>
      <c r="L13" s="17">
        <f>(1000000/I13)/D13</f>
        <v/>
      </c>
      <c r="M13" s="17">
        <f>(1000000/G13)/B13</f>
        <v/>
      </c>
      <c r="N13" s="5" t="inlineStr">
        <is>
          <t>Norma europea: il mercato vero è più grande dell'Italia, ma va servito in inglese e con concorrenti internazionali.</t>
        </is>
      </c>
    </row>
    <row r="14" ht="58" customHeight="1">
      <c r="A14" s="4" t="inlineStr">
        <is>
          <t>Direttiva RED (radio/IoT)</t>
        </is>
      </c>
      <c r="B14" s="10" t="n">
        <v>300</v>
      </c>
      <c r="C14" s="10" t="n">
        <v>800</v>
      </c>
      <c r="D14" s="10" t="n">
        <v>2000</v>
      </c>
      <c r="E14" s="5" t="inlineStr">
        <is>
          <t>Mia ipotesi: produttori e importatori di apparecchi radio in Italia (nessun dato trovato)</t>
        </is>
      </c>
      <c r="F14" s="5" t="inlineStr">
        <is>
          <t>Bassa</t>
        </is>
      </c>
      <c r="G14" s="10" t="n">
        <v>2000</v>
      </c>
      <c r="H14" s="10" t="n">
        <v>4000</v>
      </c>
      <c r="I14" s="10" t="n">
        <v>8000</v>
      </c>
      <c r="J14" s="11">
        <f>ROUND(1000000/H14,0)</f>
        <v/>
      </c>
      <c r="K14" s="16">
        <f>J14/C14</f>
        <v/>
      </c>
      <c r="L14" s="17">
        <f>(1000000/I14)/D14</f>
        <v/>
      </c>
      <c r="M14" s="17">
        <f>(1000000/G14)/B14</f>
        <v/>
      </c>
      <c r="N14" s="5" t="inlineStr">
        <is>
          <t>Troppo piccolo come solo mercato italiano; ha senso solo come prodotto europeo.</t>
        </is>
      </c>
    </row>
    <row r="15" ht="58" customHeight="1">
      <c r="A15" s="4" t="inlineStr">
        <is>
          <t>Regolamento Macchine</t>
        </is>
      </c>
      <c r="B15" s="10" t="n">
        <v>3000</v>
      </c>
      <c r="C15" s="10" t="n">
        <v>5000</v>
      </c>
      <c r="D15" s="10" t="n">
        <v>8000</v>
      </c>
      <c r="E15" s="5" t="inlineStr">
        <is>
          <t>Federmacchine 2020: 5.050 imprese (dato vecchio)</t>
        </is>
      </c>
      <c r="F15" s="5" t="inlineStr">
        <is>
          <t>Media-bassa</t>
        </is>
      </c>
      <c r="G15" s="10" t="n">
        <v>1500</v>
      </c>
      <c r="H15" s="10" t="n">
        <v>2500</v>
      </c>
      <c r="I15" s="10" t="n">
        <v>5000</v>
      </c>
      <c r="J15" s="11">
        <f>ROUND(1000000/H15,0)</f>
        <v/>
      </c>
      <c r="K15" s="16">
        <f>J15/C15</f>
        <v/>
      </c>
      <c r="L15" s="17">
        <f>(1000000/I15)/D15</f>
        <v/>
      </c>
      <c r="M15" s="17">
        <f>(1000000/G15)/B15</f>
        <v/>
      </c>
      <c r="N15" s="5" t="inlineStr">
        <is>
          <t>Mercato ben definito e vicino a te; la scadenza (20/01/2027) può slittare.</t>
        </is>
      </c>
    </row>
    <row r="16" ht="58" customHeight="1">
      <c r="A16" s="4" t="inlineStr">
        <is>
          <t>Iperammortamento 2026 (perizie)</t>
        </is>
      </c>
      <c r="B16" s="10" t="n">
        <v>5000</v>
      </c>
      <c r="C16" s="10" t="n">
        <v>12000</v>
      </c>
      <c r="D16" s="10" t="n">
        <v>20000</v>
      </c>
      <c r="E16" s="5" t="inlineStr">
        <is>
          <t>CNI 2020: 4,5%–9% degli ingegneri ha firmato perizie, in media 10 ciascuno (+ ordine di grandezza mio)</t>
        </is>
      </c>
      <c r="F16" s="5" t="inlineStr">
        <is>
          <t>Bassa</t>
        </is>
      </c>
      <c r="G16" s="10" t="n">
        <v>300</v>
      </c>
      <c r="H16" s="10" t="n">
        <v>600</v>
      </c>
      <c r="I16" s="10" t="n">
        <v>1500</v>
      </c>
      <c r="J16" s="11">
        <f>ROUND(1000000/H16,0)</f>
        <v/>
      </c>
      <c r="K16" s="16">
        <f>J16/C16</f>
        <v/>
      </c>
      <c r="L16" s="17">
        <f>(1000000/I16)/D16</f>
        <v/>
      </c>
      <c r="M16" s="17">
        <f>(1000000/G16)/B16</f>
        <v/>
      </c>
      <c r="N16" s="5" t="inlineStr">
        <is>
          <t>Tanti utenti ma prezzo basso: serve come aggiunta a un prodotto più grande.</t>
        </is>
      </c>
    </row>
    <row r="17" ht="58" customHeight="1">
      <c r="A17" s="4" t="inlineStr">
        <is>
          <t>Fibra ottica (posa)</t>
        </is>
      </c>
      <c r="B17" s="10" t="n">
        <v>300</v>
      </c>
      <c r="C17" s="10" t="n">
        <v>1000</v>
      </c>
      <c r="D17" s="10" t="n">
        <v>3000</v>
      </c>
      <c r="E17" s="5" t="inlineStr">
        <is>
          <t>Mia ipotesi: nessun dato trovato sul numero di imprese di posa</t>
        </is>
      </c>
      <c r="F17" s="5" t="inlineStr">
        <is>
          <t>Bassa</t>
        </is>
      </c>
      <c r="G17" s="10" t="n">
        <v>1000</v>
      </c>
      <c r="H17" s="10" t="n">
        <v>2000</v>
      </c>
      <c r="I17" s="10" t="n">
        <v>4000</v>
      </c>
      <c r="J17" s="11">
        <f>ROUND(1000000/H17,0)</f>
        <v/>
      </c>
      <c r="K17" s="16">
        <f>J17/C17</f>
        <v/>
      </c>
      <c r="L17" s="17">
        <f>(1000000/I17)/D17</f>
        <v/>
      </c>
      <c r="M17" s="17">
        <f>(1000000/G17)/B17</f>
        <v/>
      </c>
      <c r="N17" s="5" t="inlineStr">
        <is>
          <t>Mercato piccolo e dipendente da pochi committenti.</t>
        </is>
      </c>
    </row>
    <row r="18" ht="58" customHeight="1">
      <c r="A18" s="4" t="inlineStr">
        <is>
          <t>FWA (piccoli operatori)</t>
        </is>
      </c>
      <c r="B18" s="10" t="n">
        <v>200</v>
      </c>
      <c r="C18" s="10" t="n">
        <v>400</v>
      </c>
      <c r="D18" s="10" t="n">
        <v>1000</v>
      </c>
      <c r="E18" s="5" t="inlineStr">
        <is>
          <t>Consulente 2022: 'centinaia' di WISP in Italia</t>
        </is>
      </c>
      <c r="F18" s="5" t="inlineStr">
        <is>
          <t>Bassa</t>
        </is>
      </c>
      <c r="G18" s="10" t="n">
        <v>800</v>
      </c>
      <c r="H18" s="10" t="n">
        <v>1500</v>
      </c>
      <c r="I18" s="10" t="n">
        <v>3000</v>
      </c>
      <c r="J18" s="11">
        <f>ROUND(1000000/H18,0)</f>
        <v/>
      </c>
      <c r="K18" s="16">
        <f>J18/C18</f>
        <v/>
      </c>
      <c r="L18" s="17">
        <f>(1000000/I18)/D18</f>
        <v/>
      </c>
      <c r="M18" s="17">
        <f>(1000000/G18)/B18</f>
        <v/>
      </c>
      <c r="N18" s="5" t="inlineStr">
        <is>
          <t>Troppo piccolo come mercato solo italiano.</t>
        </is>
      </c>
    </row>
    <row r="19" ht="58" customHeight="1">
      <c r="A19" s="4" t="inlineStr">
        <is>
          <t>Report di collaudo</t>
        </is>
      </c>
      <c r="B19" s="10" t="n">
        <v>1700</v>
      </c>
      <c r="C19" s="10" t="n">
        <v>3000</v>
      </c>
      <c r="D19" s="10" t="n">
        <v>10000</v>
      </c>
      <c r="E19" s="5" t="inlineStr">
        <is>
          <t>Accredia (31/12/2025): 1.448 laboratori di prova e 228 di taratura/altro; più laboratori interni non contati</t>
        </is>
      </c>
      <c r="F19" s="5" t="inlineStr">
        <is>
          <t>Media</t>
        </is>
      </c>
      <c r="G19" s="10" t="n">
        <v>600</v>
      </c>
      <c r="H19" s="10" t="n">
        <v>1200</v>
      </c>
      <c r="I19" s="10" t="n">
        <v>3000</v>
      </c>
      <c r="J19" s="11">
        <f>ROUND(1000000/H19,0)</f>
        <v/>
      </c>
      <c r="K19" s="16">
        <f>J19/C19</f>
        <v/>
      </c>
      <c r="L19" s="17">
        <f>(1000000/I19)/D19</f>
        <v/>
      </c>
      <c r="M19" s="17">
        <f>(1000000/G19)/B19</f>
        <v/>
      </c>
      <c r="N19" s="5" t="inlineStr">
        <is>
          <t>Mercato di nicchia; gli strumenti di misura hanno già report inclusi.</t>
        </is>
      </c>
    </row>
    <row r="21">
      <c r="A21" s="7" t="inlineStr">
        <is>
          <t>Come leggerla</t>
        </is>
      </c>
    </row>
    <row r="22" ht="30" customHeight="1">
      <c r="A22" s="18" t="inlineStr">
        <is>
          <t>Le norme europee (CRA, RED, Macchine) si applicano in tutta l'UE: il mercato reale può essere molte volte quello italiano, ma richiede un prodotto in inglese e concorrenti internazionali.</t>
        </is>
      </c>
    </row>
    <row r="23" ht="30" customHeight="1">
      <c r="A23" s="18" t="inlineStr">
        <is>
          <t>Per numeri precisi sulle aziende per codice ATECO e classe di addetti servono le tavole Istat (ASIA) su IstatData: scaricale e le analizzo. Dal mio ambiente non sono raggiungibili.</t>
        </is>
      </c>
    </row>
    <row r="24" ht="30" customHeight="1">
      <c r="A24" s="18" t="inlineStr">
        <is>
          <t>Nessun numero di questo foglio è un dato di mercato verificato per il tuo prodotto: sono ordini di grandezza per scartare le nicchie troppo piccole.</t>
        </is>
      </c>
    </row>
  </sheetData>
  <mergeCells count="4">
    <mergeCell ref="A23:N23"/>
    <mergeCell ref="A24:N24"/>
    <mergeCell ref="A2:N2"/>
    <mergeCell ref="A22:N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  <col width="14" customWidth="1" min="4" max="4"/>
    <col width="50" customWidth="1" min="5" max="5"/>
  </cols>
  <sheetData>
    <row r="1">
      <c r="A1" s="1" t="inlineStr">
        <is>
          <t>Segmenti B2B lombardi con ricavi sopra 1 M€ — DATI NON VERIFICATI</t>
        </is>
      </c>
    </row>
    <row r="2" ht="44" customHeight="1">
      <c r="A2" s="2" t="inlineStr">
        <is>
          <t>Stime fornite da un altro chatbot, senza fonte. Servono come ipotesi di lavoro per scegliere dove guardare. Da confermare con i dati Istat (unità locali per ATECO e classe di addetti) e della Camera di Commercio prima di usarle in qualsiasi decisione.</t>
        </is>
      </c>
    </row>
    <row r="4">
      <c r="A4" s="19" t="inlineStr">
        <is>
          <t>Segmento</t>
        </is>
      </c>
      <c r="B4" s="19" t="inlineStr">
        <is>
          <t>Quota stimata</t>
        </is>
      </c>
      <c r="C4" s="19" t="inlineStr">
        <is>
          <t>Aziende (stima)</t>
        </is>
      </c>
      <c r="D4" s="19" t="inlineStr">
        <is>
          <t>Verificato?</t>
        </is>
      </c>
      <c r="E4" s="19" t="inlineStr">
        <is>
          <t>Fonte verificata</t>
        </is>
      </c>
    </row>
    <row r="5">
      <c r="A5" s="20" t="inlineStr">
        <is>
          <t>Manifattura avanzata e meccanica</t>
        </is>
      </c>
      <c r="B5" s="21" t="inlineStr">
        <is>
          <t>26–28%</t>
        </is>
      </c>
      <c r="C5" s="21" t="inlineStr">
        <is>
          <t>11.000–11.500</t>
        </is>
      </c>
      <c r="D5" s="22" t="inlineStr">
        <is>
          <t>No</t>
        </is>
      </c>
      <c r="E5" s="23" t="n"/>
    </row>
    <row r="6">
      <c r="A6" s="20" t="inlineStr">
        <is>
          <t>Commercio all'ingrosso B2B</t>
        </is>
      </c>
      <c r="B6" s="21" t="inlineStr">
        <is>
          <t>20–22%</t>
        </is>
      </c>
      <c r="C6" s="21" t="inlineStr">
        <is>
          <t>8.500–9.000</t>
        </is>
      </c>
      <c r="D6" s="22" t="inlineStr">
        <is>
          <t>No</t>
        </is>
      </c>
      <c r="E6" s="23" t="n"/>
    </row>
    <row r="7">
      <c r="A7" s="20" t="inlineStr">
        <is>
          <t>Servizi corporate, ICT e software</t>
        </is>
      </c>
      <c r="B7" s="21" t="inlineStr">
        <is>
          <t>12–14%</t>
        </is>
      </c>
      <c r="C7" s="21" t="inlineStr">
        <is>
          <t>5.000–5.800</t>
        </is>
      </c>
      <c r="D7" s="22" t="inlineStr">
        <is>
          <t>No</t>
        </is>
      </c>
      <c r="E7" s="23" t="n"/>
    </row>
    <row r="8">
      <c r="A8" s="20" t="inlineStr">
        <is>
          <t>Costruzioni, impiantistica, real estate B2B</t>
        </is>
      </c>
      <c r="B8" s="21" t="inlineStr">
        <is>
          <t>10–12%</t>
        </is>
      </c>
      <c r="C8" s="21" t="inlineStr">
        <is>
          <t>4.200–4.800</t>
        </is>
      </c>
      <c r="D8" s="22" t="inlineStr">
        <is>
          <t>No</t>
        </is>
      </c>
      <c r="E8" s="23" t="n"/>
    </row>
    <row r="9">
      <c r="A9" s="20" t="inlineStr">
        <is>
          <t>Chimica, polimeri, gomma-plastica</t>
        </is>
      </c>
      <c r="B9" s="21" t="inlineStr">
        <is>
          <t>7–8%</t>
        </is>
      </c>
      <c r="C9" s="21" t="inlineStr">
        <is>
          <t>3.000–3.300</t>
        </is>
      </c>
      <c r="D9" s="22" t="inlineStr">
        <is>
          <t>No</t>
        </is>
      </c>
      <c r="E9" s="23" t="n"/>
    </row>
    <row r="10">
      <c r="A10" s="20" t="inlineStr">
        <is>
          <t>Logistica, spedizioni e trasporti B2B</t>
        </is>
      </c>
      <c r="B10" s="21" t="inlineStr">
        <is>
          <t>6–7%</t>
        </is>
      </c>
      <c r="C10" s="21" t="inlineStr">
        <is>
          <t>2.500–2.900</t>
        </is>
      </c>
      <c r="D10" s="22" t="inlineStr">
        <is>
          <t>No</t>
        </is>
      </c>
      <c r="E10" s="23" t="n"/>
    </row>
    <row r="11">
      <c r="A11" s="20" t="inlineStr">
        <is>
          <t>Farmaceutica, biotech, dispositivi medici</t>
        </is>
      </c>
      <c r="B11" s="21" t="inlineStr">
        <is>
          <t>4–5%</t>
        </is>
      </c>
      <c r="C11" s="21" t="inlineStr">
        <is>
          <t>1.600–2.000</t>
        </is>
      </c>
      <c r="D11" s="22" t="inlineStr">
        <is>
          <t>No</t>
        </is>
      </c>
      <c r="E11" s="23" t="n"/>
    </row>
    <row r="12">
      <c r="A12" s="20" t="inlineStr">
        <is>
          <t>Energia, ambiente, utilities B2B</t>
        </is>
      </c>
      <c r="B12" s="21" t="inlineStr">
        <is>
          <t>3–4%</t>
        </is>
      </c>
      <c r="C12" s="21" t="inlineStr">
        <is>
          <t>1.300–1.600</t>
        </is>
      </c>
      <c r="D12" s="22" t="inlineStr">
        <is>
          <t>No</t>
        </is>
      </c>
      <c r="E12" s="23" t="n"/>
    </row>
    <row r="13">
      <c r="A13" s="20" t="inlineStr">
        <is>
          <t>Telecomunicazioni e reti</t>
        </is>
      </c>
      <c r="B13" s="21" t="inlineStr">
        <is>
          <t>1,5–2%</t>
        </is>
      </c>
      <c r="C13" s="21" t="inlineStr">
        <is>
          <t>600–800</t>
        </is>
      </c>
      <c r="D13" s="22" t="inlineStr">
        <is>
          <t>No</t>
        </is>
      </c>
      <c r="E13" s="23" t="n"/>
    </row>
    <row r="15">
      <c r="A15" s="7" t="inlineStr">
        <is>
          <t>Altre cifre da verificare</t>
        </is>
      </c>
    </row>
    <row r="16" ht="32" customHeight="1">
      <c r="A16" s="18" t="inlineStr">
        <is>
          <t>Quota di aziende lombarde con ricavi &gt;1 M€ per forma giuridica: ditte individuali &lt;0,5%, società di persone ~17%, società di capitali ~34% (fornite da te, senza fonte).</t>
        </is>
      </c>
    </row>
    <row r="17" ht="32" customHeight="1">
      <c r="A17" s="18" t="inlineStr">
        <is>
          <t>B2B contro B2C: ~11-12% delle imprese B2B sopra 1 M€ contro ~2% delle B2C (altro chatbot, senza fonte). La direzione è plausibile, il rapporto 5-6x no.</t>
        </is>
      </c>
    </row>
    <row r="18" ht="32" customHeight="1">
      <c r="A18" s="18" t="inlineStr">
        <is>
          <t>Ripartizione B2B/B2C per forma giuridica: individuali 65/35, persone 55/45, capitali 60/40 (tue stime).</t>
        </is>
      </c>
    </row>
  </sheetData>
  <mergeCells count="4">
    <mergeCell ref="A2:E2"/>
    <mergeCell ref="A16:E16"/>
    <mergeCell ref="A17:E17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1" t="inlineStr">
        <is>
          <t>Fonti dei segnali (consultate fino al 30/10/2026)</t>
        </is>
      </c>
    </row>
    <row r="2">
      <c r="A2" s="24" t="inlineStr">
        <is>
          <t>Quasi tutte sono stampa di settore e blog di consulenza, non testi ufficiali: le date vanno confermate sulla fonte primaria.</t>
        </is>
      </c>
    </row>
    <row r="4">
      <c r="A4" s="7" t="inlineStr">
        <is>
          <t>NIS2</t>
        </is>
      </c>
      <c r="B4" s="25" t="inlineStr">
        <is>
          <t>https://www.noze.it/insights/nis2-pmi-cyberagent/</t>
        </is>
      </c>
    </row>
    <row r="5">
      <c r="B5" s="25" t="inlineStr">
        <is>
          <t>https://www.agendadigitale.eu/sicurezza/nis2-scadenze-2026-la-guida-per-le-piccole-imprese/</t>
        </is>
      </c>
    </row>
    <row r="7">
      <c r="A7" s="7" t="inlineStr">
        <is>
          <t>AI Act</t>
        </is>
      </c>
      <c r="B7" s="25" t="inlineStr">
        <is>
          <t>https://www.agendadigitale.eu/industry-4-0/digital-omnibus-e-ai-act-cosa-puo-slittare-e-cosa-va-fatto-prima-di-agosto-2026/</t>
        </is>
      </c>
    </row>
    <row r="8">
      <c r="B8" s="25" t="inlineStr">
        <is>
          <t>https://www.noze.it/insights/ai-act-digital-omnibus-2026/</t>
        </is>
      </c>
    </row>
    <row r="10">
      <c r="A10" s="7" t="inlineStr">
        <is>
          <t>Cyber Resilience Act</t>
        </is>
      </c>
      <c r="B10" s="25" t="inlineStr">
        <is>
          <t>https://www.agendadigitale.eu/sicurezza/cyber-resilience-act-la-scadenza-chiave-arriva-l11-settembre-2026/</t>
        </is>
      </c>
    </row>
    <row r="11">
      <c r="B11" s="25" t="inlineStr">
        <is>
          <t>https://www.ipsoa.it/documents/quotidiano/2026/09/02/cyber-resilience-act-11-settembre-2026-scatta-obbligo-segnalare-vulnerabilita-incidenti-gravi</t>
        </is>
      </c>
    </row>
    <row r="13">
      <c r="A13" s="7" t="inlineStr">
        <is>
          <t>Direttiva RED</t>
        </is>
      </c>
      <c r="B13" s="25" t="inlineStr">
        <is>
          <t>https://www.tuvsud.com/en-us/services/product-certification/red-cybersecurity-requirements</t>
        </is>
      </c>
    </row>
    <row r="14">
      <c r="B14" s="25" t="inlineStr">
        <is>
          <t>https://www.yarix.com/Advisory-and-Consulting-Services/RED-Compliance</t>
        </is>
      </c>
    </row>
    <row r="16">
      <c r="A16" s="7" t="inlineStr">
        <is>
          <t>Regolamento Macchine</t>
        </is>
      </c>
      <c r="B16" s="25" t="inlineStr">
        <is>
          <t>https://certifico.com/macchine/regolamento-ue-2023-1230</t>
        </is>
      </c>
    </row>
    <row r="17">
      <c r="B17" s="25" t="inlineStr">
        <is>
          <t>https://www.ilsussidiario.net/news/regolamento-macchine-ue-rosa-ucimu-mancano-criteri-comuni-e-chiari-serve-una-proroga/2986256/amp/</t>
        </is>
      </c>
    </row>
    <row r="19">
      <c r="A19" s="7" t="inlineStr">
        <is>
          <t>Trasparenza retributiva</t>
        </is>
      </c>
      <c r="B19" s="25" t="inlineStr">
        <is>
          <t>https://quifinanza.it/lavoro/trasparenza-salariale-7-giugno-2026/960990/</t>
        </is>
      </c>
    </row>
    <row r="20">
      <c r="B20" s="25" t="inlineStr">
        <is>
          <t>https://www.partitaiva.it/trasparenza-salariale/</t>
        </is>
      </c>
    </row>
    <row r="22">
      <c r="A22" s="7" t="inlineStr">
        <is>
          <t>PPWR</t>
        </is>
      </c>
      <c r="B22" s="25" t="inlineStr">
        <is>
          <t>https://www.assolombarda.it/servizi/ambiente/informazioni/ppwr-dal-12-agosto-in-applicazione-il-nuovo-regolamento-ue-sugli-imballaggi</t>
        </is>
      </c>
    </row>
    <row r="24">
      <c r="A24" s="7" t="inlineStr">
        <is>
          <t>Passaporto digitale di prodotto</t>
        </is>
      </c>
      <c r="B24" s="25" t="inlineStr">
        <is>
          <t>https://www.bluestonepim.com/blog/digital-product-passport-for-batteries</t>
        </is>
      </c>
    </row>
    <row r="25">
      <c r="B25" s="25" t="inlineStr">
        <is>
          <t>https://www.pmi.it/tecnologia/prodotti-e-servizi-ict/492107/passaporto-digitale-prodotto.html</t>
        </is>
      </c>
    </row>
    <row r="27">
      <c r="A27" s="7" t="inlineStr">
        <is>
          <t>Accessibilità (EAA)</t>
        </is>
      </c>
      <c r="B27" s="25" t="inlineStr">
        <is>
          <t>https://www.agendadigitale.eu/mercati-digitali/ecommerce/siti-ecommerce-accessibili-guida-in-5-step-per-evitare-sanzioni/</t>
        </is>
      </c>
    </row>
    <row r="28">
      <c r="B28" s="25" t="inlineStr">
        <is>
          <t>https://www.iubenda.com/it/help/178476-accessibilita-101/</t>
        </is>
      </c>
    </row>
    <row r="30">
      <c r="A30" s="7" t="inlineStr">
        <is>
          <t>Iperammortamento 2026</t>
        </is>
      </c>
      <c r="B30" s="25" t="inlineStr">
        <is>
          <t>https://www.agendadigitale.eu/industry-4-0/iperammortamento-2026-la-guida-cose-e-come-fare-le-comunicazioni-al-gse/</t>
        </is>
      </c>
    </row>
    <row r="31">
      <c r="B31" s="25" t="inlineStr">
        <is>
          <t>https://pasqualepillitteri.it/perizia-iperammortamento</t>
        </is>
      </c>
    </row>
    <row r="33">
      <c r="A33" s="7" t="inlineStr">
        <is>
          <t>Acquisizioni TeamSystem / Zucchetti</t>
        </is>
      </c>
      <c r="B33" s="25" t="inlineStr">
        <is>
          <t>https://aventis-advisors.com/teamsystem-acquisitions/</t>
        </is>
      </c>
    </row>
    <row r="35">
      <c r="A35" s="7" t="inlineStr">
        <is>
          <t>Piano Italia 1 Giga</t>
        </is>
      </c>
      <c r="B35" s="25" t="inlineStr">
        <is>
          <t>https://www.editorialedomani.it/economia/banda-ultralarga-cantieri-obiettivi-pnrr-ritardi-regioni-oqbs3i02</t>
        </is>
      </c>
    </row>
    <row r="36">
      <c r="B36" s="25" t="inlineStr">
        <is>
          <t>https://tariffe.segugio.it/news-tariffe/italia-1-giga-nuovi-ritardi-per-la-banda-ultra-larga-cosa-sta-succedendo-00043657.aspx</t>
        </is>
      </c>
    </row>
    <row r="38">
      <c r="A38" s="7" t="inlineStr">
        <is>
          <t>FWA e frequenze 26 GHz</t>
        </is>
      </c>
      <c r="B38" s="25" t="inlineStr">
        <is>
          <t>https://tariffe.segugio.it/news-tariffe/internet-senza-fibra-la-fwa-supera-2-7-milioni-di-linee-00047779.aspx</t>
        </is>
      </c>
    </row>
    <row r="39">
      <c r="B39" s="25" t="inlineStr">
        <is>
          <t>https://www.smartworld.it/news/frequenze-5g-26-ghz-gara-italia-agosto-2026.html</t>
        </is>
      </c>
    </row>
    <row r="41">
      <c r="A41" s="7" t="inlineStr">
        <is>
          <t>Fase 2 — numeri di mercato</t>
        </is>
      </c>
      <c r="B41" s="25" t="inlineStr">
        <is>
          <t>https://accredia.it/wp-content/uploads/2024/07/Cartella-stampa-breve-dati-al-31-12-2025_ITA-1.pdf</t>
        </is>
      </c>
    </row>
    <row r="42">
      <c r="B42" s="25" t="inlineStr">
        <is>
          <t>https://assomac.it/media/documents/rapporto_federmacchine_2020.pdf</t>
        </is>
      </c>
    </row>
    <row r="43">
      <c r="B43" s="25" t="inlineStr">
        <is>
          <t>https://anie.it/federazione/chi-siamo/rapporto-annuale-2025_def</t>
        </is>
      </c>
    </row>
    <row r="44">
      <c r="B44" s="25" t="inlineStr">
        <is>
          <t>https://www.cni.it/images/eventi/2021/01_Lelaborazione_delle_perizie_13lug2021.pdf</t>
        </is>
      </c>
    </row>
    <row r="45">
      <c r="B45" s="25" t="inlineStr">
        <is>
          <t>https://www.fibertelecom.com/wt/2022/PDF/02-puglia/FTWWT2022-puglia-03.pdf</t>
        </is>
      </c>
    </row>
    <row r="47">
      <c r="A47" s="7" t="inlineStr">
        <is>
          <t>Comunità energetiche (CER)</t>
        </is>
      </c>
      <c r="B47" s="25" t="inlineStr">
        <is>
          <t>https://www.infobuildenergia.it/approfondimenti/cer-comunita-energetiche-in-italia/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2" r:id="rId13"/>
    <hyperlink xmlns:r="http://schemas.openxmlformats.org/officeDocument/2006/relationships" ref="B24" r:id="rId14"/>
    <hyperlink xmlns:r="http://schemas.openxmlformats.org/officeDocument/2006/relationships" ref="B25" r:id="rId15"/>
    <hyperlink xmlns:r="http://schemas.openxmlformats.org/officeDocument/2006/relationships" ref="B27" r:id="rId16"/>
    <hyperlink xmlns:r="http://schemas.openxmlformats.org/officeDocument/2006/relationships" ref="B28" r:id="rId17"/>
    <hyperlink xmlns:r="http://schemas.openxmlformats.org/officeDocument/2006/relationships" ref="B30" r:id="rId18"/>
    <hyperlink xmlns:r="http://schemas.openxmlformats.org/officeDocument/2006/relationships" ref="B31" r:id="rId19"/>
    <hyperlink xmlns:r="http://schemas.openxmlformats.org/officeDocument/2006/relationships" ref="B33" r:id="rId20"/>
    <hyperlink xmlns:r="http://schemas.openxmlformats.org/officeDocument/2006/relationships" ref="B35" r:id="rId21"/>
    <hyperlink xmlns:r="http://schemas.openxmlformats.org/officeDocument/2006/relationships" ref="B36" r:id="rId22"/>
    <hyperlink xmlns:r="http://schemas.openxmlformats.org/officeDocument/2006/relationships" ref="B38" r:id="rId23"/>
    <hyperlink xmlns:r="http://schemas.openxmlformats.org/officeDocument/2006/relationships" ref="B39" r:id="rId24"/>
    <hyperlink xmlns:r="http://schemas.openxmlformats.org/officeDocument/2006/relationships" ref="B41" r:id="rId25"/>
    <hyperlink xmlns:r="http://schemas.openxmlformats.org/officeDocument/2006/relationships" ref="B42" r:id="rId26"/>
    <hyperlink xmlns:r="http://schemas.openxmlformats.org/officeDocument/2006/relationships" ref="B43" r:id="rId27"/>
    <hyperlink xmlns:r="http://schemas.openxmlformats.org/officeDocument/2006/relationships" ref="B44" r:id="rId28"/>
    <hyperlink xmlns:r="http://schemas.openxmlformats.org/officeDocument/2006/relationships" ref="B45" r:id="rId29"/>
    <hyperlink xmlns:r="http://schemas.openxmlformats.org/officeDocument/2006/relationships" ref="B47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2026-10-30T08:30:47Z</dcterms:created>
  <dcterms:modified xmlns:dcterms="http://purl.org/dc/terms/" xmlns:xsi="http://www.w3.org/2001/XMLSchema-instance" xsi:type="dcterms:W3CDTF">2026-10-30T08:30:47Z</dcterms:modified>
</cp:coreProperties>
</file>