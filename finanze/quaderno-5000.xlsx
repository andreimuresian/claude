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scotto" sheetId="1" state="visible" r:id="rId1"/>
    <sheet name="Settimane" sheetId="2" state="visible" r:id="rId2"/>
    <sheet name="Spese" sheetId="3" state="visible" r:id="rId3"/>
    <sheet name="Entrate" sheetId="4" state="visible" r:id="rId4"/>
    <sheet name="Movimenti" sheetId="5" state="visible" r:id="rId5"/>
    <sheet name="Pian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&quot; €&quot;;(#,##0)&quot; €&quot;;&quot;–&quot;"/>
    <numFmt numFmtId="167" formatCode="#,##0.00&quot; €&quot;;(#,##0.00)&quot; €&quot;;&quot;–&quot;"/>
  </numFmts>
  <fonts count="8">
    <font>
      <name val="Calibri"/>
      <family val="2"/>
      <color theme="1"/>
      <sz val="11"/>
      <scheme val="minor"/>
    </font>
    <font>
      <name val="Arial"/>
      <b val="1"/>
      <color rgb="00141C22"/>
      <sz val="15"/>
    </font>
    <font>
      <name val="Arial"/>
      <i val="1"/>
      <color rgb="004A565E"/>
      <sz val="10"/>
    </font>
    <font>
      <name val="Arial"/>
      <b val="1"/>
      <color rgb="00FFFFFF"/>
      <sz val="11"/>
    </font>
    <font>
      <name val="Arial"/>
      <i val="1"/>
      <color rgb="000000FF"/>
      <sz val="11"/>
    </font>
    <font>
      <name val="Arial"/>
      <color rgb="000000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E6E5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3D0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" fontId="6" fillId="0" borderId="1" pivotButton="0" quotePrefix="0" xfId="0"/>
    <xf numFmtId="165" fontId="6" fillId="0" borderId="1" pivotButton="0" quotePrefix="0" xfId="0"/>
    <xf numFmtId="166" fontId="7" fillId="0" borderId="1" pivotButton="0" quotePrefix="0" xfId="0"/>
    <xf numFmtId="166" fontId="6" fillId="0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bottom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6" fontId="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166" fontId="7" fillId="0" borderId="0" pivotButton="0" quotePrefix="0" xfId="0"/>
    <xf numFmtId="167" fontId="6" fillId="0" borderId="0" pivotButton="0" quotePrefix="0" xfId="0"/>
    <xf numFmtId="167" fontId="5" fillId="0" borderId="0" pivotButton="0" quotePrefix="0" xfId="0"/>
    <xf numFmtId="165" fontId="7" fillId="0" borderId="0" pivotButton="0" quotePrefix="0" xfId="0"/>
    <xf numFmtId="166" fontId="5" fillId="3" borderId="0" pivotButton="0" quotePrefix="0" xfId="0"/>
    <xf numFmtId="165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58" customWidth="1" min="3" max="3"/>
  </cols>
  <sheetData>
    <row r="1">
      <c r="A1" s="1" t="inlineStr">
        <is>
          <t>Come stai andando</t>
        </is>
      </c>
    </row>
    <row r="2">
      <c r="A2" s="2" t="inlineStr">
        <is>
          <t>Tutto qui dentro si calcola dai fogli Settimane, Spese e Piano. Non c'è niente da scrivere.</t>
        </is>
      </c>
    </row>
    <row r="4">
      <c r="A4" s="3" t="inlineStr">
        <is>
          <t>Settimane registrate</t>
        </is>
      </c>
      <c r="B4" s="4">
        <f>COUNT(Settimane!$A$4:$A$203)</f>
        <v/>
      </c>
      <c r="C4" s="2" t="inlineStr">
        <is>
          <t>Quante domeniche hai chiuso.</t>
        </is>
      </c>
    </row>
    <row r="5">
      <c r="A5" s="3" t="inlineStr">
        <is>
          <t>Ultima domenica chiusa</t>
        </is>
      </c>
      <c r="B5" s="5">
        <f>IF($B$4=0,"",MAX(Settimane!$A$4:$A$203))</f>
        <v/>
      </c>
      <c r="C5" s="2" t="inlineStr">
        <is>
          <t>Se è più vecchia di una settimana, sei in ritardo.</t>
        </is>
      </c>
    </row>
    <row r="6">
      <c r="A6" s="3" t="inlineStr">
        <is>
          <t>Fondo sul conto risparmio</t>
        </is>
      </c>
      <c r="B6" s="6">
        <f>IF($B$4=0,0,INDEX(Settimane!$C$4:$C$203,MATCH(MAX(Settimane!$A$4:$A$203),Settimane!$A$4:$A$203,0)))</f>
        <v/>
      </c>
      <c r="C6" s="2" t="inlineStr">
        <is>
          <t>L'ultimo saldo che hai registrato.</t>
        </is>
      </c>
    </row>
    <row r="7">
      <c r="A7" s="3" t="inlineStr">
        <is>
          <t>Obiettivo</t>
        </is>
      </c>
      <c r="B7" s="7">
        <f>Piano!$B$3</f>
        <v/>
      </c>
      <c r="C7" s="2" t="inlineStr">
        <is>
          <t>Il traguardo.</t>
        </is>
      </c>
    </row>
    <row r="8">
      <c r="A8" s="3" t="inlineStr">
        <is>
          <t>Mancano al traguardo</t>
        </is>
      </c>
      <c r="B8" s="7">
        <f>MAX(0,$B$7-$B$6)</f>
        <v/>
      </c>
      <c r="C8" s="2" t="inlineStr">
        <is>
          <t>Quanto resta da mettere via.</t>
        </is>
      </c>
    </row>
    <row r="9">
      <c r="A9" s="3" t="inlineStr">
        <is>
          <t>Conto corrente</t>
        </is>
      </c>
      <c r="B9" s="7">
        <f>IF($B$4=0,0,INDEX(Settimane!$B$4:$B$203,MATCH(MAX(Settimane!$A$4:$A$203),Settimane!$A$4:$A$203,0)))</f>
        <v/>
      </c>
      <c r="C9" s="2" t="inlineStr">
        <is>
          <t>L'ultimo saldo del conto operativo.</t>
        </is>
      </c>
    </row>
    <row r="10">
      <c r="A10" s="3" t="inlineStr">
        <is>
          <t>Contanti</t>
        </is>
      </c>
      <c r="B10" s="7">
        <f>IF($B$4=0,0,INDEX(Settimane!$D$4:$D$203,MATCH(MAX(Settimane!$A$4:$A$203),Settimane!$A$4:$A$203,0)))</f>
        <v/>
      </c>
      <c r="C10" s="2" t="inlineStr">
        <is>
          <t>L'ultimo contante dichiarato.</t>
        </is>
      </c>
    </row>
    <row r="11">
      <c r="A11" s="3" t="inlineStr">
        <is>
          <t>Buoni pasto residui</t>
        </is>
      </c>
      <c r="B11" s="7">
        <f>IF($B$4=0,0,INDEX(Settimane!$E$4:$E$203,MATCH(MAX(Settimane!$A$4:$A$203),Settimane!$A$4:$A$203,0)))</f>
        <v/>
      </c>
      <c r="C11" s="2" t="inlineStr">
        <is>
          <t>L'ultimo saldo EdenRed dichiarato.</t>
        </is>
      </c>
    </row>
    <row r="12">
      <c r="A12" s="3" t="inlineStr">
        <is>
          <t>Buffer accantonato</t>
        </is>
      </c>
      <c r="B12" s="7">
        <f>IF($B$5="",0,Piano!$B$4*MAX(0,(YEAR($B$5)-YEAR(Piano!$B$5))*12+MONTH($B$5)-MONTH(Piano!$B$5)+1))</f>
        <v/>
      </c>
      <c r="C12" s="2" t="inlineStr">
        <is>
          <t>150 € per ogni mese trascorso dall'inizio.</t>
        </is>
      </c>
    </row>
    <row r="13">
      <c r="A13" s="3" t="inlineStr">
        <is>
          <t>Già speso dal buffer</t>
        </is>
      </c>
      <c r="B13" s="7">
        <f>Spese!$C$105</f>
        <v/>
      </c>
      <c r="C13" s="2" t="inlineStr">
        <is>
          <t>Somma del foglio Spese, incluse le righe previsto.</t>
        </is>
      </c>
    </row>
    <row r="14">
      <c r="A14" s="3" t="inlineStr">
        <is>
          <t>Buffer disponibile</t>
        </is>
      </c>
      <c r="B14" s="6">
        <f>$B$12-$B$13</f>
        <v/>
      </c>
      <c r="C14" s="2" t="inlineStr">
        <is>
          <t>Se va sotto zero lo sta finanziando il fondo: normale con assicurazione e lotta insieme.</t>
        </is>
      </c>
    </row>
    <row r="15">
      <c r="A15" s="3" t="inlineStr">
        <is>
          <t>Cassa libera</t>
        </is>
      </c>
      <c r="B15" s="6">
        <f>$B$9-MAX(0,$B$14)</f>
        <v/>
      </c>
      <c r="C15" s="2" t="inlineStr">
        <is>
          <t>Sul conto corrente, tolto il buffer. È quello che puoi spendere davvero.</t>
        </is>
      </c>
    </row>
    <row r="16">
      <c r="A16" s="3" t="inlineStr">
        <is>
          <t>Il piano a quella data</t>
        </is>
      </c>
      <c r="B16" s="7">
        <f>IF(NOT(ISNUMBER($B$5)),0,IF($B$5&lt;=INDEX(Piano!$A$12:$A$14,1),0,IF($B$5&gt;=INDEX(Piano!$A$12:$A$14,3),INDEX(Piano!$B$12:$B$14,3),INDEX(Piano!$B$12:$B$14,MATCH($B$5,Piano!$A$12:$A$14,1))+($B$5-INDEX(Piano!$A$12:$A$14,MATCH($B$5,Piano!$A$12:$A$14,1)))/(INDEX(Piano!$A$12:$A$14,MATCH($B$5,Piano!$A$12:$A$14,1)+1)-INDEX(Piano!$A$12:$A$14,MATCH($B$5,Piano!$A$12:$A$14,1)))*(INDEX(Piano!$B$12:$B$14,MATCH($B$5,Piano!$A$12:$A$14,1)+1)-INDEX(Piano!$B$12:$B$14,MATCH($B$5,Piano!$A$12:$A$14,1))))))</f>
        <v/>
      </c>
      <c r="C16" s="2" t="inlineStr">
        <is>
          <t>Dove dovresti essere secondo la curva del foglio Piano.</t>
        </is>
      </c>
    </row>
    <row r="17">
      <c r="A17" s="3" t="inlineStr">
        <is>
          <t>Avanti (+) o indietro (−) sul piano</t>
        </is>
      </c>
      <c r="B17" s="6">
        <f>$B$6-$B$16</f>
        <v/>
      </c>
      <c r="C17" s="2" t="inlineStr">
        <is>
          <t>Positivo: sei in anticipo. Negativo: recupera.</t>
        </is>
      </c>
    </row>
    <row r="18">
      <c r="A18" s="3" t="inlineStr">
        <is>
          <t>Speso l'ultima settimana</t>
        </is>
      </c>
      <c r="B18" s="7">
        <f>IF($B$4&lt;2,"",INDEX(Settimane!$I$4:$I$203,MATCH(MAX(Settimane!$A$4:$A$203),Settimane!$A$4:$A$203,0)))</f>
        <v/>
      </c>
      <c r="C18" s="2" t="inlineStr">
        <is>
          <t>Calcolato dai saldi, non dagli scontrini.</t>
        </is>
      </c>
    </row>
    <row r="19">
      <c r="A19" s="3" t="inlineStr">
        <is>
          <t>Media delle ultime 4 settimane</t>
        </is>
      </c>
      <c r="B19" s="6">
        <f>IFERROR(AVERAGEIFS(Settimane!$I$4:$I$203,Settimane!$A$4:$A$203,"&gt;="&amp;($B$5-21),Settimane!$A$4:$A$203,"&lt;="&amp;$B$5),"")</f>
        <v/>
      </c>
      <c r="C19" s="2" t="inlineStr">
        <is>
          <t>Il numero da guardare: una settimana storta non vuol dire niente.</t>
        </is>
      </c>
    </row>
    <row r="20">
      <c r="A20" s="3" t="inlineStr">
        <is>
          <t>Scarto vs budget, ultima settimana</t>
        </is>
      </c>
      <c r="B20" s="7">
        <f>IF($B$4&lt;1,"",INDEX(Settimane!$K$4:$K$203,MATCH(MAX(Settimane!$A$4:$A$203),Settimane!$A$4:$A$203,0)))</f>
        <v/>
      </c>
      <c r="C20" s="2" t="inlineStr">
        <is>
          <t>Dal foglio Settimane: negativo è buono, hai speso meno del previsto.</t>
        </is>
      </c>
    </row>
    <row r="23">
      <c r="A23" s="3" t="inlineStr">
        <is>
          <t>Come si usa</t>
        </is>
      </c>
    </row>
    <row r="24">
      <c r="A24" s="3" t="inlineStr">
        <is>
          <t>1.</t>
        </is>
      </c>
      <c r="C24" s="8" t="inlineStr">
        <is>
          <t>Domenica sera apri l'app della banca, conta i contanti e leggi il saldo EdenRed.</t>
        </is>
      </c>
    </row>
    <row r="25">
      <c r="A25" s="3" t="inlineStr">
        <is>
          <t>2.</t>
        </is>
      </c>
      <c r="C25" s="8" t="inlineStr">
        <is>
          <t>Vai sul foglio Settimane, prima riga vuota, e scrivi data e i quattro saldi (celle blu).</t>
        </is>
      </c>
    </row>
    <row r="26">
      <c r="A26" s="3" t="inlineStr">
        <is>
          <t>3.</t>
        </is>
      </c>
      <c r="C26" s="8" t="inlineStr">
        <is>
          <t>Prima di chiudere la settimana, scrivi in «Budget previsto» quanto pensavi di spendere.</t>
        </is>
      </c>
    </row>
    <row r="27">
      <c r="A27" s="3" t="inlineStr">
        <is>
          <t>4.</t>
        </is>
      </c>
      <c r="C27" s="8" t="inlineStr">
        <is>
          <t>Se in settimana è entrato qualcosa — stipendio, ripetizioni, i soldi dei tuoi — scrivilo in «Entrate» e, se vuoi tenerne memoria precisa, anche nel foglio Entrate.</t>
        </is>
      </c>
    </row>
    <row r="28">
      <c r="A28" s="3" t="inlineStr">
        <is>
          <t>5.</t>
        </is>
      </c>
      <c r="C28" s="8" t="inlineStr">
        <is>
          <t>Ogni settimana (o mese) incolla i movimenti PostePay nel foglio Movimenti, aggiungendo a mano quelli EdenRed.</t>
        </is>
      </c>
    </row>
    <row r="29">
      <c r="A29" s="3" t="inlineStr">
        <is>
          <t>6.</t>
        </is>
      </c>
      <c r="C29" s="8" t="inlineStr">
        <is>
          <t>Torna qui. Due minuti in tutto.</t>
        </is>
      </c>
    </row>
    <row r="31" ht="58" customHeight="1">
      <c r="A31" s="3" t="inlineStr">
        <is>
          <t>Perché funziona</t>
        </is>
      </c>
      <c r="C31" s="9" t="inlineStr">
        <is>
          <t>Non misura le spese ma il patrimonio: patrimonio di domenica scorsa + entrate − patrimonio di oggi = quanto è uscito, contanti e buoni pasto compresi. Per lo stesso motivo il bonifico al conto risparmio non risulta come spesa: sposta i soldi da una tasca all'altra.</t>
        </is>
      </c>
    </row>
    <row r="33">
      <c r="A33" s="3" t="inlineStr">
        <is>
          <t>Legenda</t>
        </is>
      </c>
      <c r="C33" s="9" t="inlineStr">
        <is>
          <t>Blu = celle che scrivi tu.  Nero = formule, non toccarle.  Corsivo blu = previsione non ancora confermata (fogli Spese/Entrate).  Giallo (foglio Piano) = parametri da rivedere se cambia il piano.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3" customWidth="1" min="4" max="4"/>
    <col width="15" customWidth="1" min="5" max="5"/>
    <col width="12" customWidth="1" min="6" max="6"/>
    <col width="30" customWidth="1" min="7" max="7"/>
    <col width="15" customWidth="1" min="8" max="8"/>
    <col width="20" customWidth="1" min="9" max="9"/>
    <col width="18" customWidth="1" min="10" max="10"/>
    <col width="18" customWidth="1" min="11" max="11"/>
  </cols>
  <sheetData>
    <row r="1">
      <c r="A1" s="1" t="inlineStr">
        <is>
          <t>Il quaderno dei 5.000 — registro settimanale</t>
        </is>
      </c>
    </row>
    <row r="2" ht="42" customHeight="1">
      <c r="A2" s="9" t="inlineStr">
        <is>
          <t>Ogni domenica scrivi solo le colonne in blu: i saldi letti dalle app (banca, contanti contati a mente, buoni pasto residui) e le entrate della settimana. Tutto il resto si calcola da solo. Budget previsto: scrivi prima quanto pensi di spendere, così a fine settimana vedi lo scarto reale. La prima riga in corsivo è un esempio: cancellala.</t>
        </is>
      </c>
    </row>
    <row r="3" ht="30" customHeight="1">
      <c r="A3" s="10" t="inlineStr">
        <is>
          <t>Domenica</t>
        </is>
      </c>
      <c r="B3" s="10" t="inlineStr">
        <is>
          <t>Conto corrente (€)</t>
        </is>
      </c>
      <c r="C3" s="10" t="inlineStr">
        <is>
          <t>Conto risparmio (€)</t>
        </is>
      </c>
      <c r="D3" s="10" t="inlineStr">
        <is>
          <t>Contanti (€)</t>
        </is>
      </c>
      <c r="E3" s="10" t="inlineStr">
        <is>
          <t>Buoni pasto (€)</t>
        </is>
      </c>
      <c r="F3" s="10" t="inlineStr">
        <is>
          <t>Entrate (€)</t>
        </is>
      </c>
      <c r="G3" s="10" t="inlineStr">
        <is>
          <t>Nota</t>
        </is>
      </c>
      <c r="H3" s="10" t="inlineStr">
        <is>
          <t>Patrimonio (€)</t>
        </is>
      </c>
      <c r="I3" s="10" t="inlineStr">
        <is>
          <t>Speso in settimana (€)</t>
        </is>
      </c>
      <c r="J3" s="10" t="inlineStr">
        <is>
          <t>Budget previsto (€)</t>
        </is>
      </c>
      <c r="K3" s="10" t="inlineStr">
        <is>
          <t>Scarto vs budget (€)</t>
        </is>
      </c>
    </row>
    <row r="4">
      <c r="A4" s="11" t="n">
        <v>46264</v>
      </c>
      <c r="B4" s="12" t="n">
        <v>2190</v>
      </c>
      <c r="C4" s="12" t="n">
        <v>0</v>
      </c>
      <c r="D4" s="12" t="n">
        <v>0</v>
      </c>
      <c r="E4" s="12" t="n">
        <v>0</v>
      </c>
      <c r="F4" s="12" t="n">
        <v>2190</v>
      </c>
      <c r="G4" s="13" t="inlineStr">
        <is>
          <t>ESEMPIO — stipendio di agosto (cancella questa riga)</t>
        </is>
      </c>
      <c r="H4" s="7">
        <f>IF(NOT(ISNUMBER($A4)),"",$B4+$C4+$D4+$E4)</f>
        <v/>
      </c>
      <c r="I4" s="7">
        <f>IF(OR(NOT(ISNUMBER($A4)),NOT(ISNUMBER($A3))),"",$H3+$F4-$H4)</f>
        <v/>
      </c>
      <c r="J4" s="14" t="n"/>
      <c r="K4" s="7">
        <f>IF(OR($I4="",$J4=""),"",$I4-$J4)</f>
        <v/>
      </c>
    </row>
    <row r="5">
      <c r="A5" s="15" t="n">
        <v>46285</v>
      </c>
      <c r="B5" s="16" t="n">
        <v>74</v>
      </c>
      <c r="C5" s="16" t="n">
        <v>470</v>
      </c>
      <c r="D5" s="16" t="n">
        <v>350</v>
      </c>
      <c r="E5" s="16" t="n">
        <v>81</v>
      </c>
      <c r="F5" s="16" t="n">
        <v>0</v>
      </c>
      <c r="G5" s="17" t="inlineStr">
        <is>
          <t>Rinnovo caldaia (140 € — vedi foglio Spese)</t>
        </is>
      </c>
      <c r="H5" s="7">
        <f>IF(NOT(ISNUMBER($A5)),"",$B5+$C5+$D5+$E5)</f>
        <v/>
      </c>
      <c r="I5" s="7">
        <f>IF(OR(NOT(ISNUMBER($A5)),NOT(ISNUMBER($A4))),"",$H4+$F5-$H5)</f>
        <v/>
      </c>
      <c r="J5" s="14" t="n"/>
      <c r="K5" s="7">
        <f>IF(OR($I5="",$J5=""),"",$I5-$J5)</f>
        <v/>
      </c>
    </row>
    <row r="6">
      <c r="A6" s="18" t="n"/>
      <c r="B6" s="14" t="n"/>
      <c r="C6" s="14" t="n"/>
      <c r="D6" s="14" t="n"/>
      <c r="E6" s="14" t="n"/>
      <c r="F6" s="14" t="n">
        <v>0</v>
      </c>
      <c r="G6" s="19" t="n"/>
      <c r="H6" s="7">
        <f>IF(NOT(ISNUMBER($A6)),"",$B6+$C6+$D6+$E6)</f>
        <v/>
      </c>
      <c r="I6" s="7">
        <f>IF(OR(NOT(ISNUMBER($A6)),NOT(ISNUMBER($A5))),"",$H5+$F6-$H6)</f>
        <v/>
      </c>
      <c r="J6" s="14" t="n"/>
      <c r="K6" s="7">
        <f>IF(OR($I6="",$J6=""),"",$I6-$J6)</f>
        <v/>
      </c>
    </row>
    <row r="7">
      <c r="A7" s="18" t="n"/>
      <c r="B7" s="14" t="n"/>
      <c r="C7" s="14" t="n"/>
      <c r="D7" s="14" t="n"/>
      <c r="E7" s="14" t="n"/>
      <c r="F7" s="14" t="n">
        <v>0</v>
      </c>
      <c r="G7" s="19" t="n"/>
      <c r="H7" s="7">
        <f>IF(NOT(ISNUMBER($A7)),"",$B7+$C7+$D7+$E7)</f>
        <v/>
      </c>
      <c r="I7" s="7">
        <f>IF(OR(NOT(ISNUMBER($A7)),NOT(ISNUMBER($A6))),"",$H6+$F7-$H7)</f>
        <v/>
      </c>
      <c r="J7" s="14" t="n"/>
      <c r="K7" s="7">
        <f>IF(OR($I7="",$J7=""),"",$I7-$J7)</f>
        <v/>
      </c>
    </row>
    <row r="8">
      <c r="A8" s="18" t="n"/>
      <c r="B8" s="14" t="n"/>
      <c r="C8" s="14" t="n"/>
      <c r="D8" s="14" t="n"/>
      <c r="E8" s="14" t="n"/>
      <c r="F8" s="14" t="n">
        <v>0</v>
      </c>
      <c r="G8" s="19" t="n"/>
      <c r="H8" s="7">
        <f>IF(NOT(ISNUMBER($A8)),"",$B8+$C8+$D8+$E8)</f>
        <v/>
      </c>
      <c r="I8" s="7">
        <f>IF(OR(NOT(ISNUMBER($A8)),NOT(ISNUMBER($A7))),"",$H7+$F8-$H8)</f>
        <v/>
      </c>
      <c r="J8" s="14" t="n"/>
      <c r="K8" s="7">
        <f>IF(OR($I8="",$J8=""),"",$I8-$J8)</f>
        <v/>
      </c>
    </row>
    <row r="9">
      <c r="A9" s="18" t="n"/>
      <c r="B9" s="14" t="n"/>
      <c r="C9" s="14" t="n"/>
      <c r="D9" s="14" t="n"/>
      <c r="E9" s="14" t="n"/>
      <c r="F9" s="14" t="n">
        <v>0</v>
      </c>
      <c r="G9" s="19" t="n"/>
      <c r="H9" s="7">
        <f>IF(NOT(ISNUMBER($A9)),"",$B9+$C9+$D9+$E9)</f>
        <v/>
      </c>
      <c r="I9" s="7">
        <f>IF(OR(NOT(ISNUMBER($A9)),NOT(ISNUMBER($A8))),"",$H8+$F9-$H9)</f>
        <v/>
      </c>
      <c r="J9" s="14" t="n"/>
      <c r="K9" s="7">
        <f>IF(OR($I9="",$J9=""),"",$I9-$J9)</f>
        <v/>
      </c>
    </row>
    <row r="10">
      <c r="A10" s="18" t="n"/>
      <c r="B10" s="14" t="n"/>
      <c r="C10" s="14" t="n"/>
      <c r="D10" s="14" t="n"/>
      <c r="E10" s="14" t="n"/>
      <c r="F10" s="14" t="n">
        <v>0</v>
      </c>
      <c r="G10" s="19" t="n"/>
      <c r="H10" s="7">
        <f>IF(NOT(ISNUMBER($A10)),"",$B10+$C10+$D10+$E10)</f>
        <v/>
      </c>
      <c r="I10" s="7">
        <f>IF(OR(NOT(ISNUMBER($A10)),NOT(ISNUMBER($A9))),"",$H9+$F10-$H10)</f>
        <v/>
      </c>
      <c r="J10" s="14" t="n"/>
      <c r="K10" s="7">
        <f>IF(OR($I10="",$J10=""),"",$I10-$J10)</f>
        <v/>
      </c>
    </row>
    <row r="11">
      <c r="A11" s="18" t="n"/>
      <c r="B11" s="14" t="n"/>
      <c r="C11" s="14" t="n"/>
      <c r="D11" s="14" t="n"/>
      <c r="E11" s="14" t="n"/>
      <c r="F11" s="14" t="n">
        <v>0</v>
      </c>
      <c r="G11" s="19" t="n"/>
      <c r="H11" s="7">
        <f>IF(NOT(ISNUMBER($A11)),"",$B11+$C11+$D11+$E11)</f>
        <v/>
      </c>
      <c r="I11" s="7">
        <f>IF(OR(NOT(ISNUMBER($A11)),NOT(ISNUMBER($A10))),"",$H10+$F11-$H11)</f>
        <v/>
      </c>
      <c r="J11" s="14" t="n"/>
      <c r="K11" s="7">
        <f>IF(OR($I11="",$J11=""),"",$I11-$J11)</f>
        <v/>
      </c>
    </row>
    <row r="12">
      <c r="A12" s="18" t="n"/>
      <c r="B12" s="14" t="n"/>
      <c r="C12" s="14" t="n"/>
      <c r="D12" s="14" t="n"/>
      <c r="E12" s="14" t="n"/>
      <c r="F12" s="14" t="n">
        <v>0</v>
      </c>
      <c r="G12" s="19" t="n"/>
      <c r="H12" s="7">
        <f>IF(NOT(ISNUMBER($A12)),"",$B12+$C12+$D12+$E12)</f>
        <v/>
      </c>
      <c r="I12" s="7">
        <f>IF(OR(NOT(ISNUMBER($A12)),NOT(ISNUMBER($A11))),"",$H11+$F12-$H12)</f>
        <v/>
      </c>
      <c r="J12" s="14" t="n"/>
      <c r="K12" s="7">
        <f>IF(OR($I12="",$J12=""),"",$I12-$J12)</f>
        <v/>
      </c>
    </row>
    <row r="13">
      <c r="A13" s="18" t="n"/>
      <c r="B13" s="14" t="n"/>
      <c r="C13" s="14" t="n"/>
      <c r="D13" s="14" t="n"/>
      <c r="E13" s="14" t="n"/>
      <c r="F13" s="14" t="n">
        <v>0</v>
      </c>
      <c r="G13" s="19" t="n"/>
      <c r="H13" s="7">
        <f>IF(NOT(ISNUMBER($A13)),"",$B13+$C13+$D13+$E13)</f>
        <v/>
      </c>
      <c r="I13" s="7">
        <f>IF(OR(NOT(ISNUMBER($A13)),NOT(ISNUMBER($A12))),"",$H12+$F13-$H13)</f>
        <v/>
      </c>
      <c r="J13" s="14" t="n"/>
      <c r="K13" s="7">
        <f>IF(OR($I13="",$J13=""),"",$I13-$J13)</f>
        <v/>
      </c>
    </row>
    <row r="14">
      <c r="A14" s="18" t="n"/>
      <c r="B14" s="14" t="n"/>
      <c r="C14" s="14" t="n"/>
      <c r="D14" s="14" t="n"/>
      <c r="E14" s="14" t="n"/>
      <c r="F14" s="14" t="n">
        <v>0</v>
      </c>
      <c r="G14" s="19" t="n"/>
      <c r="H14" s="7">
        <f>IF(NOT(ISNUMBER($A14)),"",$B14+$C14+$D14+$E14)</f>
        <v/>
      </c>
      <c r="I14" s="7">
        <f>IF(OR(NOT(ISNUMBER($A14)),NOT(ISNUMBER($A13))),"",$H13+$F14-$H14)</f>
        <v/>
      </c>
      <c r="J14" s="14" t="n"/>
      <c r="K14" s="7">
        <f>IF(OR($I14="",$J14=""),"",$I14-$J14)</f>
        <v/>
      </c>
    </row>
    <row r="15">
      <c r="A15" s="18" t="n"/>
      <c r="B15" s="14" t="n"/>
      <c r="C15" s="14" t="n"/>
      <c r="D15" s="14" t="n"/>
      <c r="E15" s="14" t="n"/>
      <c r="F15" s="14" t="n">
        <v>0</v>
      </c>
      <c r="G15" s="19" t="n"/>
      <c r="H15" s="7">
        <f>IF(NOT(ISNUMBER($A15)),"",$B15+$C15+$D15+$E15)</f>
        <v/>
      </c>
      <c r="I15" s="7">
        <f>IF(OR(NOT(ISNUMBER($A15)),NOT(ISNUMBER($A14))),"",$H14+$F15-$H15)</f>
        <v/>
      </c>
      <c r="J15" s="14" t="n"/>
      <c r="K15" s="7">
        <f>IF(OR($I15="",$J15=""),"",$I15-$J15)</f>
        <v/>
      </c>
    </row>
    <row r="16">
      <c r="A16" s="18" t="n"/>
      <c r="B16" s="14" t="n"/>
      <c r="C16" s="14" t="n"/>
      <c r="D16" s="14" t="n"/>
      <c r="E16" s="14" t="n"/>
      <c r="F16" s="14" t="n">
        <v>0</v>
      </c>
      <c r="G16" s="19" t="n"/>
      <c r="H16" s="7">
        <f>IF(NOT(ISNUMBER($A16)),"",$B16+$C16+$D16+$E16)</f>
        <v/>
      </c>
      <c r="I16" s="7">
        <f>IF(OR(NOT(ISNUMBER($A16)),NOT(ISNUMBER($A15))),"",$H15+$F16-$H16)</f>
        <v/>
      </c>
      <c r="J16" s="14" t="n"/>
      <c r="K16" s="7">
        <f>IF(OR($I16="",$J16=""),"",$I16-$J16)</f>
        <v/>
      </c>
    </row>
    <row r="17">
      <c r="A17" s="18" t="n"/>
      <c r="B17" s="14" t="n"/>
      <c r="C17" s="14" t="n"/>
      <c r="D17" s="14" t="n"/>
      <c r="E17" s="14" t="n"/>
      <c r="F17" s="14" t="n">
        <v>0</v>
      </c>
      <c r="G17" s="19" t="n"/>
      <c r="H17" s="7">
        <f>IF(NOT(ISNUMBER($A17)),"",$B17+$C17+$D17+$E17)</f>
        <v/>
      </c>
      <c r="I17" s="7">
        <f>IF(OR(NOT(ISNUMBER($A17)),NOT(ISNUMBER($A16))),"",$H16+$F17-$H17)</f>
        <v/>
      </c>
      <c r="J17" s="14" t="n"/>
      <c r="K17" s="7">
        <f>IF(OR($I17="",$J17=""),"",$I17-$J17)</f>
        <v/>
      </c>
    </row>
    <row r="18">
      <c r="A18" s="18" t="n"/>
      <c r="B18" s="14" t="n"/>
      <c r="C18" s="14" t="n"/>
      <c r="D18" s="14" t="n"/>
      <c r="E18" s="14" t="n"/>
      <c r="F18" s="14" t="n">
        <v>0</v>
      </c>
      <c r="G18" s="19" t="n"/>
      <c r="H18" s="7">
        <f>IF(NOT(ISNUMBER($A18)),"",$B18+$C18+$D18+$E18)</f>
        <v/>
      </c>
      <c r="I18" s="7">
        <f>IF(OR(NOT(ISNUMBER($A18)),NOT(ISNUMBER($A17))),"",$H17+$F18-$H18)</f>
        <v/>
      </c>
      <c r="J18" s="14" t="n"/>
      <c r="K18" s="7">
        <f>IF(OR($I18="",$J18=""),"",$I18-$J18)</f>
        <v/>
      </c>
    </row>
    <row r="19">
      <c r="A19" s="18" t="n"/>
      <c r="B19" s="14" t="n"/>
      <c r="C19" s="14" t="n"/>
      <c r="D19" s="14" t="n"/>
      <c r="E19" s="14" t="n"/>
      <c r="F19" s="14" t="n">
        <v>0</v>
      </c>
      <c r="G19" s="19" t="n"/>
      <c r="H19" s="7">
        <f>IF(NOT(ISNUMBER($A19)),"",$B19+$C19+$D19+$E19)</f>
        <v/>
      </c>
      <c r="I19" s="7">
        <f>IF(OR(NOT(ISNUMBER($A19)),NOT(ISNUMBER($A18))),"",$H18+$F19-$H19)</f>
        <v/>
      </c>
      <c r="J19" s="14" t="n"/>
      <c r="K19" s="7">
        <f>IF(OR($I19="",$J19=""),"",$I19-$J19)</f>
        <v/>
      </c>
    </row>
    <row r="20">
      <c r="A20" s="18" t="n"/>
      <c r="B20" s="14" t="n"/>
      <c r="C20" s="14" t="n"/>
      <c r="D20" s="14" t="n"/>
      <c r="E20" s="14" t="n"/>
      <c r="F20" s="14" t="n">
        <v>0</v>
      </c>
      <c r="G20" s="19" t="n"/>
      <c r="H20" s="7">
        <f>IF(NOT(ISNUMBER($A20)),"",$B20+$C20+$D20+$E20)</f>
        <v/>
      </c>
      <c r="I20" s="7">
        <f>IF(OR(NOT(ISNUMBER($A20)),NOT(ISNUMBER($A19))),"",$H19+$F20-$H20)</f>
        <v/>
      </c>
      <c r="J20" s="14" t="n"/>
      <c r="K20" s="7">
        <f>IF(OR($I20="",$J20=""),"",$I20-$J20)</f>
        <v/>
      </c>
    </row>
    <row r="21">
      <c r="A21" s="18" t="n"/>
      <c r="B21" s="14" t="n"/>
      <c r="C21" s="14" t="n"/>
      <c r="D21" s="14" t="n"/>
      <c r="E21" s="14" t="n"/>
      <c r="F21" s="14" t="n">
        <v>0</v>
      </c>
      <c r="G21" s="19" t="n"/>
      <c r="H21" s="7">
        <f>IF(NOT(ISNUMBER($A21)),"",$B21+$C21+$D21+$E21)</f>
        <v/>
      </c>
      <c r="I21" s="7">
        <f>IF(OR(NOT(ISNUMBER($A21)),NOT(ISNUMBER($A20))),"",$H20+$F21-$H21)</f>
        <v/>
      </c>
      <c r="J21" s="14" t="n"/>
      <c r="K21" s="7">
        <f>IF(OR($I21="",$J21=""),"",$I21-$J21)</f>
        <v/>
      </c>
    </row>
    <row r="22">
      <c r="A22" s="18" t="n"/>
      <c r="B22" s="14" t="n"/>
      <c r="C22" s="14" t="n"/>
      <c r="D22" s="14" t="n"/>
      <c r="E22" s="14" t="n"/>
      <c r="F22" s="14" t="n">
        <v>0</v>
      </c>
      <c r="G22" s="19" t="n"/>
      <c r="H22" s="7">
        <f>IF(NOT(ISNUMBER($A22)),"",$B22+$C22+$D22+$E22)</f>
        <v/>
      </c>
      <c r="I22" s="7">
        <f>IF(OR(NOT(ISNUMBER($A22)),NOT(ISNUMBER($A21))),"",$H21+$F22-$H22)</f>
        <v/>
      </c>
      <c r="J22" s="14" t="n"/>
      <c r="K22" s="7">
        <f>IF(OR($I22="",$J22=""),"",$I22-$J22)</f>
        <v/>
      </c>
    </row>
    <row r="23">
      <c r="A23" s="18" t="n"/>
      <c r="B23" s="14" t="n"/>
      <c r="C23" s="14" t="n"/>
      <c r="D23" s="14" t="n"/>
      <c r="E23" s="14" t="n"/>
      <c r="F23" s="14" t="n">
        <v>0</v>
      </c>
      <c r="G23" s="19" t="n"/>
      <c r="H23" s="7">
        <f>IF(NOT(ISNUMBER($A23)),"",$B23+$C23+$D23+$E23)</f>
        <v/>
      </c>
      <c r="I23" s="7">
        <f>IF(OR(NOT(ISNUMBER($A23)),NOT(ISNUMBER($A22))),"",$H22+$F23-$H23)</f>
        <v/>
      </c>
      <c r="J23" s="14" t="n"/>
      <c r="K23" s="7">
        <f>IF(OR($I23="",$J23=""),"",$I23-$J23)</f>
        <v/>
      </c>
    </row>
    <row r="24">
      <c r="A24" s="18" t="n"/>
      <c r="B24" s="14" t="n"/>
      <c r="C24" s="14" t="n"/>
      <c r="D24" s="14" t="n"/>
      <c r="E24" s="14" t="n"/>
      <c r="F24" s="14" t="n">
        <v>0</v>
      </c>
      <c r="G24" s="19" t="n"/>
      <c r="H24" s="7">
        <f>IF(NOT(ISNUMBER($A24)),"",$B24+$C24+$D24+$E24)</f>
        <v/>
      </c>
      <c r="I24" s="7">
        <f>IF(OR(NOT(ISNUMBER($A24)),NOT(ISNUMBER($A23))),"",$H23+$F24-$H24)</f>
        <v/>
      </c>
      <c r="J24" s="14" t="n"/>
      <c r="K24" s="7">
        <f>IF(OR($I24="",$J24=""),"",$I24-$J24)</f>
        <v/>
      </c>
    </row>
    <row r="25">
      <c r="A25" s="18" t="n"/>
      <c r="B25" s="14" t="n"/>
      <c r="C25" s="14" t="n"/>
      <c r="D25" s="14" t="n"/>
      <c r="E25" s="14" t="n"/>
      <c r="F25" s="14" t="n">
        <v>0</v>
      </c>
      <c r="G25" s="19" t="n"/>
      <c r="H25" s="7">
        <f>IF(NOT(ISNUMBER($A25)),"",$B25+$C25+$D25+$E25)</f>
        <v/>
      </c>
      <c r="I25" s="7">
        <f>IF(OR(NOT(ISNUMBER($A25)),NOT(ISNUMBER($A24))),"",$H24+$F25-$H25)</f>
        <v/>
      </c>
      <c r="J25" s="14" t="n"/>
      <c r="K25" s="7">
        <f>IF(OR($I25="",$J25=""),"",$I25-$J25)</f>
        <v/>
      </c>
    </row>
    <row r="26">
      <c r="A26" s="18" t="n"/>
      <c r="B26" s="14" t="n"/>
      <c r="C26" s="14" t="n"/>
      <c r="D26" s="14" t="n"/>
      <c r="E26" s="14" t="n"/>
      <c r="F26" s="14" t="n">
        <v>0</v>
      </c>
      <c r="G26" s="19" t="n"/>
      <c r="H26" s="7">
        <f>IF(NOT(ISNUMBER($A26)),"",$B26+$C26+$D26+$E26)</f>
        <v/>
      </c>
      <c r="I26" s="7">
        <f>IF(OR(NOT(ISNUMBER($A26)),NOT(ISNUMBER($A25))),"",$H25+$F26-$H26)</f>
        <v/>
      </c>
      <c r="J26" s="14" t="n"/>
      <c r="K26" s="7">
        <f>IF(OR($I26="",$J26=""),"",$I26-$J26)</f>
        <v/>
      </c>
    </row>
    <row r="27">
      <c r="A27" s="18" t="n"/>
      <c r="B27" s="14" t="n"/>
      <c r="C27" s="14" t="n"/>
      <c r="D27" s="14" t="n"/>
      <c r="E27" s="14" t="n"/>
      <c r="F27" s="14" t="n">
        <v>0</v>
      </c>
      <c r="G27" s="19" t="n"/>
      <c r="H27" s="7">
        <f>IF(NOT(ISNUMBER($A27)),"",$B27+$C27+$D27+$E27)</f>
        <v/>
      </c>
      <c r="I27" s="7">
        <f>IF(OR(NOT(ISNUMBER($A27)),NOT(ISNUMBER($A26))),"",$H26+$F27-$H27)</f>
        <v/>
      </c>
      <c r="J27" s="14" t="n"/>
      <c r="K27" s="7">
        <f>IF(OR($I27="",$J27=""),"",$I27-$J27)</f>
        <v/>
      </c>
    </row>
    <row r="28">
      <c r="A28" s="18" t="n"/>
      <c r="B28" s="14" t="n"/>
      <c r="C28" s="14" t="n"/>
      <c r="D28" s="14" t="n"/>
      <c r="E28" s="14" t="n"/>
      <c r="F28" s="14" t="n">
        <v>0</v>
      </c>
      <c r="G28" s="19" t="n"/>
      <c r="H28" s="7">
        <f>IF(NOT(ISNUMBER($A28)),"",$B28+$C28+$D28+$E28)</f>
        <v/>
      </c>
      <c r="I28" s="7">
        <f>IF(OR(NOT(ISNUMBER($A28)),NOT(ISNUMBER($A27))),"",$H27+$F28-$H28)</f>
        <v/>
      </c>
      <c r="J28" s="14" t="n"/>
      <c r="K28" s="7">
        <f>IF(OR($I28="",$J28=""),"",$I28-$J28)</f>
        <v/>
      </c>
    </row>
    <row r="29">
      <c r="A29" s="18" t="n"/>
      <c r="B29" s="14" t="n"/>
      <c r="C29" s="14" t="n"/>
      <c r="D29" s="14" t="n"/>
      <c r="E29" s="14" t="n"/>
      <c r="F29" s="14" t="n">
        <v>0</v>
      </c>
      <c r="G29" s="19" t="n"/>
      <c r="H29" s="7">
        <f>IF(NOT(ISNUMBER($A29)),"",$B29+$C29+$D29+$E29)</f>
        <v/>
      </c>
      <c r="I29" s="7">
        <f>IF(OR(NOT(ISNUMBER($A29)),NOT(ISNUMBER($A28))),"",$H28+$F29-$H29)</f>
        <v/>
      </c>
      <c r="J29" s="14" t="n"/>
      <c r="K29" s="7">
        <f>IF(OR($I29="",$J29=""),"",$I29-$J29)</f>
        <v/>
      </c>
    </row>
    <row r="30">
      <c r="A30" s="18" t="n"/>
      <c r="B30" s="14" t="n"/>
      <c r="C30" s="14" t="n"/>
      <c r="D30" s="14" t="n"/>
      <c r="E30" s="14" t="n"/>
      <c r="F30" s="14" t="n">
        <v>0</v>
      </c>
      <c r="G30" s="19" t="n"/>
      <c r="H30" s="7">
        <f>IF(NOT(ISNUMBER($A30)),"",$B30+$C30+$D30+$E30)</f>
        <v/>
      </c>
      <c r="I30" s="7">
        <f>IF(OR(NOT(ISNUMBER($A30)),NOT(ISNUMBER($A29))),"",$H29+$F30-$H30)</f>
        <v/>
      </c>
      <c r="J30" s="14" t="n"/>
      <c r="K30" s="7">
        <f>IF(OR($I30="",$J30=""),"",$I30-$J30)</f>
        <v/>
      </c>
    </row>
    <row r="31">
      <c r="A31" s="18" t="n"/>
      <c r="B31" s="14" t="n"/>
      <c r="C31" s="14" t="n"/>
      <c r="D31" s="14" t="n"/>
      <c r="E31" s="14" t="n"/>
      <c r="F31" s="14" t="n">
        <v>0</v>
      </c>
      <c r="G31" s="19" t="n"/>
      <c r="H31" s="7">
        <f>IF(NOT(ISNUMBER($A31)),"",$B31+$C31+$D31+$E31)</f>
        <v/>
      </c>
      <c r="I31" s="7">
        <f>IF(OR(NOT(ISNUMBER($A31)),NOT(ISNUMBER($A30))),"",$H30+$F31-$H31)</f>
        <v/>
      </c>
      <c r="J31" s="14" t="n"/>
      <c r="K31" s="7">
        <f>IF(OR($I31="",$J31=""),"",$I31-$J31)</f>
        <v/>
      </c>
    </row>
    <row r="32">
      <c r="A32" s="18" t="n"/>
      <c r="B32" s="14" t="n"/>
      <c r="C32" s="14" t="n"/>
      <c r="D32" s="14" t="n"/>
      <c r="E32" s="14" t="n"/>
      <c r="F32" s="14" t="n">
        <v>0</v>
      </c>
      <c r="G32" s="19" t="n"/>
      <c r="H32" s="7">
        <f>IF(NOT(ISNUMBER($A32)),"",$B32+$C32+$D32+$E32)</f>
        <v/>
      </c>
      <c r="I32" s="7">
        <f>IF(OR(NOT(ISNUMBER($A32)),NOT(ISNUMBER($A31))),"",$H31+$F32-$H32)</f>
        <v/>
      </c>
      <c r="J32" s="14" t="n"/>
      <c r="K32" s="7">
        <f>IF(OR($I32="",$J32=""),"",$I32-$J32)</f>
        <v/>
      </c>
    </row>
    <row r="33">
      <c r="A33" s="18" t="n"/>
      <c r="B33" s="14" t="n"/>
      <c r="C33" s="14" t="n"/>
      <c r="D33" s="14" t="n"/>
      <c r="E33" s="14" t="n"/>
      <c r="F33" s="14" t="n">
        <v>0</v>
      </c>
      <c r="G33" s="19" t="n"/>
      <c r="H33" s="7">
        <f>IF(NOT(ISNUMBER($A33)),"",$B33+$C33+$D33+$E33)</f>
        <v/>
      </c>
      <c r="I33" s="7">
        <f>IF(OR(NOT(ISNUMBER($A33)),NOT(ISNUMBER($A32))),"",$H32+$F33-$H33)</f>
        <v/>
      </c>
      <c r="J33" s="14" t="n"/>
      <c r="K33" s="7">
        <f>IF(OR($I33="",$J33=""),"",$I33-$J33)</f>
        <v/>
      </c>
    </row>
    <row r="34">
      <c r="A34" s="18" t="n"/>
      <c r="B34" s="14" t="n"/>
      <c r="C34" s="14" t="n"/>
      <c r="D34" s="14" t="n"/>
      <c r="E34" s="14" t="n"/>
      <c r="F34" s="14" t="n">
        <v>0</v>
      </c>
      <c r="G34" s="19" t="n"/>
      <c r="H34" s="7">
        <f>IF(NOT(ISNUMBER($A34)),"",$B34+$C34+$D34+$E34)</f>
        <v/>
      </c>
      <c r="I34" s="7">
        <f>IF(OR(NOT(ISNUMBER($A34)),NOT(ISNUMBER($A33))),"",$H33+$F34-$H34)</f>
        <v/>
      </c>
      <c r="J34" s="14" t="n"/>
      <c r="K34" s="7">
        <f>IF(OR($I34="",$J34=""),"",$I34-$J34)</f>
        <v/>
      </c>
    </row>
    <row r="35">
      <c r="A35" s="18" t="n"/>
      <c r="B35" s="14" t="n"/>
      <c r="C35" s="14" t="n"/>
      <c r="D35" s="14" t="n"/>
      <c r="E35" s="14" t="n"/>
      <c r="F35" s="14" t="n">
        <v>0</v>
      </c>
      <c r="G35" s="19" t="n"/>
      <c r="H35" s="7">
        <f>IF(NOT(ISNUMBER($A35)),"",$B35+$C35+$D35+$E35)</f>
        <v/>
      </c>
      <c r="I35" s="7">
        <f>IF(OR(NOT(ISNUMBER($A35)),NOT(ISNUMBER($A34))),"",$H34+$F35-$H35)</f>
        <v/>
      </c>
      <c r="J35" s="14" t="n"/>
      <c r="K35" s="7">
        <f>IF(OR($I35="",$J35=""),"",$I35-$J35)</f>
        <v/>
      </c>
    </row>
    <row r="36">
      <c r="A36" s="18" t="n"/>
      <c r="B36" s="14" t="n"/>
      <c r="C36" s="14" t="n"/>
      <c r="D36" s="14" t="n"/>
      <c r="E36" s="14" t="n"/>
      <c r="F36" s="14" t="n">
        <v>0</v>
      </c>
      <c r="G36" s="19" t="n"/>
      <c r="H36" s="7">
        <f>IF(NOT(ISNUMBER($A36)),"",$B36+$C36+$D36+$E36)</f>
        <v/>
      </c>
      <c r="I36" s="7">
        <f>IF(OR(NOT(ISNUMBER($A36)),NOT(ISNUMBER($A35))),"",$H35+$F36-$H36)</f>
        <v/>
      </c>
      <c r="J36" s="14" t="n"/>
      <c r="K36" s="7">
        <f>IF(OR($I36="",$J36=""),"",$I36-$J36)</f>
        <v/>
      </c>
    </row>
    <row r="37">
      <c r="A37" s="18" t="n"/>
      <c r="B37" s="14" t="n"/>
      <c r="C37" s="14" t="n"/>
      <c r="D37" s="14" t="n"/>
      <c r="E37" s="14" t="n"/>
      <c r="F37" s="14" t="n">
        <v>0</v>
      </c>
      <c r="G37" s="19" t="n"/>
      <c r="H37" s="7">
        <f>IF(NOT(ISNUMBER($A37)),"",$B37+$C37+$D37+$E37)</f>
        <v/>
      </c>
      <c r="I37" s="7">
        <f>IF(OR(NOT(ISNUMBER($A37)),NOT(ISNUMBER($A36))),"",$H36+$F37-$H37)</f>
        <v/>
      </c>
      <c r="J37" s="14" t="n"/>
      <c r="K37" s="7">
        <f>IF(OR($I37="",$J37=""),"",$I37-$J37)</f>
        <v/>
      </c>
    </row>
    <row r="38">
      <c r="A38" s="18" t="n"/>
      <c r="B38" s="14" t="n"/>
      <c r="C38" s="14" t="n"/>
      <c r="D38" s="14" t="n"/>
      <c r="E38" s="14" t="n"/>
      <c r="F38" s="14" t="n">
        <v>0</v>
      </c>
      <c r="G38" s="19" t="n"/>
      <c r="H38" s="7">
        <f>IF(NOT(ISNUMBER($A38)),"",$B38+$C38+$D38+$E38)</f>
        <v/>
      </c>
      <c r="I38" s="7">
        <f>IF(OR(NOT(ISNUMBER($A38)),NOT(ISNUMBER($A37))),"",$H37+$F38-$H38)</f>
        <v/>
      </c>
      <c r="J38" s="14" t="n"/>
      <c r="K38" s="7">
        <f>IF(OR($I38="",$J38=""),"",$I38-$J38)</f>
        <v/>
      </c>
    </row>
    <row r="39">
      <c r="A39" s="18" t="n"/>
      <c r="B39" s="14" t="n"/>
      <c r="C39" s="14" t="n"/>
      <c r="D39" s="14" t="n"/>
      <c r="E39" s="14" t="n"/>
      <c r="F39" s="14" t="n">
        <v>0</v>
      </c>
      <c r="G39" s="19" t="n"/>
      <c r="H39" s="7">
        <f>IF(NOT(ISNUMBER($A39)),"",$B39+$C39+$D39+$E39)</f>
        <v/>
      </c>
      <c r="I39" s="7">
        <f>IF(OR(NOT(ISNUMBER($A39)),NOT(ISNUMBER($A38))),"",$H38+$F39-$H39)</f>
        <v/>
      </c>
      <c r="J39" s="14" t="n"/>
      <c r="K39" s="7">
        <f>IF(OR($I39="",$J39=""),"",$I39-$J39)</f>
        <v/>
      </c>
    </row>
    <row r="40">
      <c r="A40" s="18" t="n"/>
      <c r="B40" s="14" t="n"/>
      <c r="C40" s="14" t="n"/>
      <c r="D40" s="14" t="n"/>
      <c r="E40" s="14" t="n"/>
      <c r="F40" s="14" t="n">
        <v>0</v>
      </c>
      <c r="G40" s="19" t="n"/>
      <c r="H40" s="7">
        <f>IF(NOT(ISNUMBER($A40)),"",$B40+$C40+$D40+$E40)</f>
        <v/>
      </c>
      <c r="I40" s="7">
        <f>IF(OR(NOT(ISNUMBER($A40)),NOT(ISNUMBER($A39))),"",$H39+$F40-$H40)</f>
        <v/>
      </c>
      <c r="J40" s="14" t="n"/>
      <c r="K40" s="7">
        <f>IF(OR($I40="",$J40=""),"",$I40-$J40)</f>
        <v/>
      </c>
    </row>
    <row r="41">
      <c r="A41" s="18" t="n"/>
      <c r="B41" s="14" t="n"/>
      <c r="C41" s="14" t="n"/>
      <c r="D41" s="14" t="n"/>
      <c r="E41" s="14" t="n"/>
      <c r="F41" s="14" t="n">
        <v>0</v>
      </c>
      <c r="G41" s="19" t="n"/>
      <c r="H41" s="7">
        <f>IF(NOT(ISNUMBER($A41)),"",$B41+$C41+$D41+$E41)</f>
        <v/>
      </c>
      <c r="I41" s="7">
        <f>IF(OR(NOT(ISNUMBER($A41)),NOT(ISNUMBER($A40))),"",$H40+$F41-$H41)</f>
        <v/>
      </c>
      <c r="J41" s="14" t="n"/>
      <c r="K41" s="7">
        <f>IF(OR($I41="",$J41=""),"",$I41-$J41)</f>
        <v/>
      </c>
    </row>
    <row r="42">
      <c r="A42" s="18" t="n"/>
      <c r="B42" s="14" t="n"/>
      <c r="C42" s="14" t="n"/>
      <c r="D42" s="14" t="n"/>
      <c r="E42" s="14" t="n"/>
      <c r="F42" s="14" t="n">
        <v>0</v>
      </c>
      <c r="G42" s="19" t="n"/>
      <c r="H42" s="7">
        <f>IF(NOT(ISNUMBER($A42)),"",$B42+$C42+$D42+$E42)</f>
        <v/>
      </c>
      <c r="I42" s="7">
        <f>IF(OR(NOT(ISNUMBER($A42)),NOT(ISNUMBER($A41))),"",$H41+$F42-$H42)</f>
        <v/>
      </c>
      <c r="J42" s="14" t="n"/>
      <c r="K42" s="7">
        <f>IF(OR($I42="",$J42=""),"",$I42-$J42)</f>
        <v/>
      </c>
    </row>
    <row r="43">
      <c r="A43" s="18" t="n"/>
      <c r="B43" s="14" t="n"/>
      <c r="C43" s="14" t="n"/>
      <c r="D43" s="14" t="n"/>
      <c r="E43" s="14" t="n"/>
      <c r="F43" s="14" t="n">
        <v>0</v>
      </c>
      <c r="G43" s="19" t="n"/>
      <c r="H43" s="7">
        <f>IF(NOT(ISNUMBER($A43)),"",$B43+$C43+$D43+$E43)</f>
        <v/>
      </c>
      <c r="I43" s="7">
        <f>IF(OR(NOT(ISNUMBER($A43)),NOT(ISNUMBER($A42))),"",$H42+$F43-$H43)</f>
        <v/>
      </c>
      <c r="J43" s="14" t="n"/>
      <c r="K43" s="7">
        <f>IF(OR($I43="",$J43=""),"",$I43-$J43)</f>
        <v/>
      </c>
    </row>
    <row r="44">
      <c r="A44" s="18" t="n"/>
      <c r="B44" s="14" t="n"/>
      <c r="C44" s="14" t="n"/>
      <c r="D44" s="14" t="n"/>
      <c r="E44" s="14" t="n"/>
      <c r="F44" s="14" t="n">
        <v>0</v>
      </c>
      <c r="G44" s="19" t="n"/>
      <c r="H44" s="7">
        <f>IF(NOT(ISNUMBER($A44)),"",$B44+$C44+$D44+$E44)</f>
        <v/>
      </c>
      <c r="I44" s="7">
        <f>IF(OR(NOT(ISNUMBER($A44)),NOT(ISNUMBER($A43))),"",$H43+$F44-$H44)</f>
        <v/>
      </c>
      <c r="J44" s="14" t="n"/>
      <c r="K44" s="7">
        <f>IF(OR($I44="",$J44=""),"",$I44-$J44)</f>
        <v/>
      </c>
    </row>
    <row r="45">
      <c r="A45" s="18" t="n"/>
      <c r="B45" s="14" t="n"/>
      <c r="C45" s="14" t="n"/>
      <c r="D45" s="14" t="n"/>
      <c r="E45" s="14" t="n"/>
      <c r="F45" s="14" t="n">
        <v>0</v>
      </c>
      <c r="G45" s="19" t="n"/>
      <c r="H45" s="7">
        <f>IF(NOT(ISNUMBER($A45)),"",$B45+$C45+$D45+$E45)</f>
        <v/>
      </c>
      <c r="I45" s="7">
        <f>IF(OR(NOT(ISNUMBER($A45)),NOT(ISNUMBER($A44))),"",$H44+$F45-$H45)</f>
        <v/>
      </c>
      <c r="J45" s="14" t="n"/>
      <c r="K45" s="7">
        <f>IF(OR($I45="",$J45=""),"",$I45-$J45)</f>
        <v/>
      </c>
    </row>
    <row r="46">
      <c r="A46" s="18" t="n"/>
      <c r="B46" s="14" t="n"/>
      <c r="C46" s="14" t="n"/>
      <c r="D46" s="14" t="n"/>
      <c r="E46" s="14" t="n"/>
      <c r="F46" s="14" t="n">
        <v>0</v>
      </c>
      <c r="G46" s="19" t="n"/>
      <c r="H46" s="7">
        <f>IF(NOT(ISNUMBER($A46)),"",$B46+$C46+$D46+$E46)</f>
        <v/>
      </c>
      <c r="I46" s="7">
        <f>IF(OR(NOT(ISNUMBER($A46)),NOT(ISNUMBER($A45))),"",$H45+$F46-$H46)</f>
        <v/>
      </c>
      <c r="J46" s="14" t="n"/>
      <c r="K46" s="7">
        <f>IF(OR($I46="",$J46=""),"",$I46-$J46)</f>
        <v/>
      </c>
    </row>
    <row r="47">
      <c r="A47" s="18" t="n"/>
      <c r="B47" s="14" t="n"/>
      <c r="C47" s="14" t="n"/>
      <c r="D47" s="14" t="n"/>
      <c r="E47" s="14" t="n"/>
      <c r="F47" s="14" t="n">
        <v>0</v>
      </c>
      <c r="G47" s="19" t="n"/>
      <c r="H47" s="7">
        <f>IF(NOT(ISNUMBER($A47)),"",$B47+$C47+$D47+$E47)</f>
        <v/>
      </c>
      <c r="I47" s="7">
        <f>IF(OR(NOT(ISNUMBER($A47)),NOT(ISNUMBER($A46))),"",$H46+$F47-$H47)</f>
        <v/>
      </c>
      <c r="J47" s="14" t="n"/>
      <c r="K47" s="7">
        <f>IF(OR($I47="",$J47=""),"",$I47-$J47)</f>
        <v/>
      </c>
    </row>
    <row r="48">
      <c r="A48" s="18" t="n"/>
      <c r="B48" s="14" t="n"/>
      <c r="C48" s="14" t="n"/>
      <c r="D48" s="14" t="n"/>
      <c r="E48" s="14" t="n"/>
      <c r="F48" s="14" t="n">
        <v>0</v>
      </c>
      <c r="G48" s="19" t="n"/>
      <c r="H48" s="7">
        <f>IF(NOT(ISNUMBER($A48)),"",$B48+$C48+$D48+$E48)</f>
        <v/>
      </c>
      <c r="I48" s="7">
        <f>IF(OR(NOT(ISNUMBER($A48)),NOT(ISNUMBER($A47))),"",$H47+$F48-$H48)</f>
        <v/>
      </c>
      <c r="J48" s="14" t="n"/>
      <c r="K48" s="7">
        <f>IF(OR($I48="",$J48=""),"",$I48-$J48)</f>
        <v/>
      </c>
    </row>
    <row r="49">
      <c r="A49" s="18" t="n"/>
      <c r="B49" s="14" t="n"/>
      <c r="C49" s="14" t="n"/>
      <c r="D49" s="14" t="n"/>
      <c r="E49" s="14" t="n"/>
      <c r="F49" s="14" t="n">
        <v>0</v>
      </c>
      <c r="G49" s="19" t="n"/>
      <c r="H49" s="7">
        <f>IF(NOT(ISNUMBER($A49)),"",$B49+$C49+$D49+$E49)</f>
        <v/>
      </c>
      <c r="I49" s="7">
        <f>IF(OR(NOT(ISNUMBER($A49)),NOT(ISNUMBER($A48))),"",$H48+$F49-$H49)</f>
        <v/>
      </c>
      <c r="J49" s="14" t="n"/>
      <c r="K49" s="7">
        <f>IF(OR($I49="",$J49=""),"",$I49-$J49)</f>
        <v/>
      </c>
    </row>
    <row r="50">
      <c r="A50" s="18" t="n"/>
      <c r="B50" s="14" t="n"/>
      <c r="C50" s="14" t="n"/>
      <c r="D50" s="14" t="n"/>
      <c r="E50" s="14" t="n"/>
      <c r="F50" s="14" t="n">
        <v>0</v>
      </c>
      <c r="G50" s="19" t="n"/>
      <c r="H50" s="7">
        <f>IF(NOT(ISNUMBER($A50)),"",$B50+$C50+$D50+$E50)</f>
        <v/>
      </c>
      <c r="I50" s="7">
        <f>IF(OR(NOT(ISNUMBER($A50)),NOT(ISNUMBER($A49))),"",$H49+$F50-$H50)</f>
        <v/>
      </c>
      <c r="J50" s="14" t="n"/>
      <c r="K50" s="7">
        <f>IF(OR($I50="",$J50=""),"",$I50-$J50)</f>
        <v/>
      </c>
    </row>
    <row r="51">
      <c r="A51" s="18" t="n"/>
      <c r="B51" s="14" t="n"/>
      <c r="C51" s="14" t="n"/>
      <c r="D51" s="14" t="n"/>
      <c r="E51" s="14" t="n"/>
      <c r="F51" s="14" t="n">
        <v>0</v>
      </c>
      <c r="G51" s="19" t="n"/>
      <c r="H51" s="7">
        <f>IF(NOT(ISNUMBER($A51)),"",$B51+$C51+$D51+$E51)</f>
        <v/>
      </c>
      <c r="I51" s="7">
        <f>IF(OR(NOT(ISNUMBER($A51)),NOT(ISNUMBER($A50))),"",$H50+$F51-$H51)</f>
        <v/>
      </c>
      <c r="J51" s="14" t="n"/>
      <c r="K51" s="7">
        <f>IF(OR($I51="",$J51=""),"",$I51-$J51)</f>
        <v/>
      </c>
    </row>
    <row r="52">
      <c r="A52" s="18" t="n"/>
      <c r="B52" s="14" t="n"/>
      <c r="C52" s="14" t="n"/>
      <c r="D52" s="14" t="n"/>
      <c r="E52" s="14" t="n"/>
      <c r="F52" s="14" t="n">
        <v>0</v>
      </c>
      <c r="G52" s="19" t="n"/>
      <c r="H52" s="7">
        <f>IF(NOT(ISNUMBER($A52)),"",$B52+$C52+$D52+$E52)</f>
        <v/>
      </c>
      <c r="I52" s="7">
        <f>IF(OR(NOT(ISNUMBER($A52)),NOT(ISNUMBER($A51))),"",$H51+$F52-$H52)</f>
        <v/>
      </c>
      <c r="J52" s="14" t="n"/>
      <c r="K52" s="7">
        <f>IF(OR($I52="",$J52=""),"",$I52-$J52)</f>
        <v/>
      </c>
    </row>
    <row r="53">
      <c r="A53" s="18" t="n"/>
      <c r="B53" s="14" t="n"/>
      <c r="C53" s="14" t="n"/>
      <c r="D53" s="14" t="n"/>
      <c r="E53" s="14" t="n"/>
      <c r="F53" s="14" t="n">
        <v>0</v>
      </c>
      <c r="G53" s="19" t="n"/>
      <c r="H53" s="7">
        <f>IF(NOT(ISNUMBER($A53)),"",$B53+$C53+$D53+$E53)</f>
        <v/>
      </c>
      <c r="I53" s="7">
        <f>IF(OR(NOT(ISNUMBER($A53)),NOT(ISNUMBER($A52))),"",$H52+$F53-$H53)</f>
        <v/>
      </c>
      <c r="J53" s="14" t="n"/>
      <c r="K53" s="7">
        <f>IF(OR($I53="",$J53=""),"",$I53-$J53)</f>
        <v/>
      </c>
    </row>
    <row r="54">
      <c r="A54" s="18" t="n"/>
      <c r="B54" s="14" t="n"/>
      <c r="C54" s="14" t="n"/>
      <c r="D54" s="14" t="n"/>
      <c r="E54" s="14" t="n"/>
      <c r="F54" s="14" t="n">
        <v>0</v>
      </c>
      <c r="G54" s="19" t="n"/>
      <c r="H54" s="7">
        <f>IF(NOT(ISNUMBER($A54)),"",$B54+$C54+$D54+$E54)</f>
        <v/>
      </c>
      <c r="I54" s="7">
        <f>IF(OR(NOT(ISNUMBER($A54)),NOT(ISNUMBER($A53))),"",$H53+$F54-$H54)</f>
        <v/>
      </c>
      <c r="J54" s="14" t="n"/>
      <c r="K54" s="7">
        <f>IF(OR($I54="",$J54=""),"",$I54-$J54)</f>
        <v/>
      </c>
    </row>
    <row r="55">
      <c r="A55" s="18" t="n"/>
      <c r="B55" s="14" t="n"/>
      <c r="C55" s="14" t="n"/>
      <c r="D55" s="14" t="n"/>
      <c r="E55" s="14" t="n"/>
      <c r="F55" s="14" t="n">
        <v>0</v>
      </c>
      <c r="G55" s="19" t="n"/>
      <c r="H55" s="7">
        <f>IF(NOT(ISNUMBER($A55)),"",$B55+$C55+$D55+$E55)</f>
        <v/>
      </c>
      <c r="I55" s="7">
        <f>IF(OR(NOT(ISNUMBER($A55)),NOT(ISNUMBER($A54))),"",$H54+$F55-$H55)</f>
        <v/>
      </c>
      <c r="J55" s="14" t="n"/>
      <c r="K55" s="7">
        <f>IF(OR($I55="",$J55=""),"",$I55-$J55)</f>
        <v/>
      </c>
    </row>
    <row r="56">
      <c r="A56" s="18" t="n"/>
      <c r="B56" s="14" t="n"/>
      <c r="C56" s="14" t="n"/>
      <c r="D56" s="14" t="n"/>
      <c r="E56" s="14" t="n"/>
      <c r="F56" s="14" t="n">
        <v>0</v>
      </c>
      <c r="G56" s="19" t="n"/>
      <c r="H56" s="7">
        <f>IF(NOT(ISNUMBER($A56)),"",$B56+$C56+$D56+$E56)</f>
        <v/>
      </c>
      <c r="I56" s="7">
        <f>IF(OR(NOT(ISNUMBER($A56)),NOT(ISNUMBER($A55))),"",$H55+$F56-$H56)</f>
        <v/>
      </c>
      <c r="J56" s="14" t="n"/>
      <c r="K56" s="7">
        <f>IF(OR($I56="",$J56=""),"",$I56-$J56)</f>
        <v/>
      </c>
    </row>
    <row r="57">
      <c r="A57" s="18" t="n"/>
      <c r="B57" s="14" t="n"/>
      <c r="C57" s="14" t="n"/>
      <c r="D57" s="14" t="n"/>
      <c r="E57" s="14" t="n"/>
      <c r="F57" s="14" t="n">
        <v>0</v>
      </c>
      <c r="G57" s="19" t="n"/>
      <c r="H57" s="7">
        <f>IF(NOT(ISNUMBER($A57)),"",$B57+$C57+$D57+$E57)</f>
        <v/>
      </c>
      <c r="I57" s="7">
        <f>IF(OR(NOT(ISNUMBER($A57)),NOT(ISNUMBER($A56))),"",$H56+$F57-$H57)</f>
        <v/>
      </c>
      <c r="J57" s="14" t="n"/>
      <c r="K57" s="7">
        <f>IF(OR($I57="",$J57=""),"",$I57-$J57)</f>
        <v/>
      </c>
    </row>
    <row r="58">
      <c r="A58" s="18" t="n"/>
      <c r="B58" s="14" t="n"/>
      <c r="C58" s="14" t="n"/>
      <c r="D58" s="14" t="n"/>
      <c r="E58" s="14" t="n"/>
      <c r="F58" s="14" t="n">
        <v>0</v>
      </c>
      <c r="G58" s="19" t="n"/>
      <c r="H58" s="7">
        <f>IF(NOT(ISNUMBER($A58)),"",$B58+$C58+$D58+$E58)</f>
        <v/>
      </c>
      <c r="I58" s="7">
        <f>IF(OR(NOT(ISNUMBER($A58)),NOT(ISNUMBER($A57))),"",$H57+$F58-$H58)</f>
        <v/>
      </c>
      <c r="J58" s="14" t="n"/>
      <c r="K58" s="7">
        <f>IF(OR($I58="",$J58=""),"",$I58-$J58)</f>
        <v/>
      </c>
    </row>
    <row r="59">
      <c r="A59" s="18" t="n"/>
      <c r="B59" s="14" t="n"/>
      <c r="C59" s="14" t="n"/>
      <c r="D59" s="14" t="n"/>
      <c r="E59" s="14" t="n"/>
      <c r="F59" s="14" t="n">
        <v>0</v>
      </c>
      <c r="G59" s="19" t="n"/>
      <c r="H59" s="7">
        <f>IF(NOT(ISNUMBER($A59)),"",$B59+$C59+$D59+$E59)</f>
        <v/>
      </c>
      <c r="I59" s="7">
        <f>IF(OR(NOT(ISNUMBER($A59)),NOT(ISNUMBER($A58))),"",$H58+$F59-$H59)</f>
        <v/>
      </c>
      <c r="J59" s="14" t="n"/>
      <c r="K59" s="7">
        <f>IF(OR($I59="",$J59=""),"",$I59-$J59)</f>
        <v/>
      </c>
    </row>
    <row r="60">
      <c r="A60" s="18" t="n"/>
      <c r="B60" s="14" t="n"/>
      <c r="C60" s="14" t="n"/>
      <c r="D60" s="14" t="n"/>
      <c r="E60" s="14" t="n"/>
      <c r="F60" s="14" t="n">
        <v>0</v>
      </c>
      <c r="G60" s="19" t="n"/>
      <c r="H60" s="7">
        <f>IF(NOT(ISNUMBER($A60)),"",$B60+$C60+$D60+$E60)</f>
        <v/>
      </c>
      <c r="I60" s="7">
        <f>IF(OR(NOT(ISNUMBER($A60)),NOT(ISNUMBER($A59))),"",$H59+$F60-$H60)</f>
        <v/>
      </c>
      <c r="J60" s="14" t="n"/>
      <c r="K60" s="7">
        <f>IF(OR($I60="",$J60=""),"",$I60-$J60)</f>
        <v/>
      </c>
    </row>
    <row r="61">
      <c r="A61" s="18" t="n"/>
      <c r="B61" s="14" t="n"/>
      <c r="C61" s="14" t="n"/>
      <c r="D61" s="14" t="n"/>
      <c r="E61" s="14" t="n"/>
      <c r="F61" s="14" t="n">
        <v>0</v>
      </c>
      <c r="G61" s="19" t="n"/>
      <c r="H61" s="7">
        <f>IF(NOT(ISNUMBER($A61)),"",$B61+$C61+$D61+$E61)</f>
        <v/>
      </c>
      <c r="I61" s="7">
        <f>IF(OR(NOT(ISNUMBER($A61)),NOT(ISNUMBER($A60))),"",$H60+$F61-$H61)</f>
        <v/>
      </c>
      <c r="J61" s="14" t="n"/>
      <c r="K61" s="7">
        <f>IF(OR($I61="",$J61=""),"",$I61-$J61)</f>
        <v/>
      </c>
    </row>
    <row r="62">
      <c r="A62" s="18" t="n"/>
      <c r="B62" s="14" t="n"/>
      <c r="C62" s="14" t="n"/>
      <c r="D62" s="14" t="n"/>
      <c r="E62" s="14" t="n"/>
      <c r="F62" s="14" t="n">
        <v>0</v>
      </c>
      <c r="G62" s="19" t="n"/>
      <c r="H62" s="7">
        <f>IF(NOT(ISNUMBER($A62)),"",$B62+$C62+$D62+$E62)</f>
        <v/>
      </c>
      <c r="I62" s="7">
        <f>IF(OR(NOT(ISNUMBER($A62)),NOT(ISNUMBER($A61))),"",$H61+$F62-$H62)</f>
        <v/>
      </c>
      <c r="J62" s="14" t="n"/>
      <c r="K62" s="7">
        <f>IF(OR($I62="",$J62=""),"",$I62-$J62)</f>
        <v/>
      </c>
    </row>
    <row r="63">
      <c r="A63" s="18" t="n"/>
      <c r="B63" s="14" t="n"/>
      <c r="C63" s="14" t="n"/>
      <c r="D63" s="14" t="n"/>
      <c r="E63" s="14" t="n"/>
      <c r="F63" s="14" t="n">
        <v>0</v>
      </c>
      <c r="G63" s="19" t="n"/>
      <c r="H63" s="7">
        <f>IF(NOT(ISNUMBER($A63)),"",$B63+$C63+$D63+$E63)</f>
        <v/>
      </c>
      <c r="I63" s="7">
        <f>IF(OR(NOT(ISNUMBER($A63)),NOT(ISNUMBER($A62))),"",$H62+$F63-$H63)</f>
        <v/>
      </c>
      <c r="J63" s="14" t="n"/>
      <c r="K63" s="7">
        <f>IF(OR($I63="",$J63=""),"",$I63-$J63)</f>
        <v/>
      </c>
    </row>
    <row r="64">
      <c r="A64" s="18" t="n"/>
      <c r="B64" s="14" t="n"/>
      <c r="C64" s="14" t="n"/>
      <c r="D64" s="14" t="n"/>
      <c r="E64" s="14" t="n"/>
      <c r="F64" s="14" t="n">
        <v>0</v>
      </c>
      <c r="G64" s="19" t="n"/>
      <c r="H64" s="7">
        <f>IF(NOT(ISNUMBER($A64)),"",$B64+$C64+$D64+$E64)</f>
        <v/>
      </c>
      <c r="I64" s="7">
        <f>IF(OR(NOT(ISNUMBER($A64)),NOT(ISNUMBER($A63))),"",$H63+$F64-$H64)</f>
        <v/>
      </c>
      <c r="J64" s="14" t="n"/>
      <c r="K64" s="7">
        <f>IF(OR($I64="",$J64=""),"",$I64-$J64)</f>
        <v/>
      </c>
    </row>
    <row r="65">
      <c r="A65" s="18" t="n"/>
      <c r="B65" s="14" t="n"/>
      <c r="C65" s="14" t="n"/>
      <c r="D65" s="14" t="n"/>
      <c r="E65" s="14" t="n"/>
      <c r="F65" s="14" t="n">
        <v>0</v>
      </c>
      <c r="G65" s="19" t="n"/>
      <c r="H65" s="7">
        <f>IF(NOT(ISNUMBER($A65)),"",$B65+$C65+$D65+$E65)</f>
        <v/>
      </c>
      <c r="I65" s="7">
        <f>IF(OR(NOT(ISNUMBER($A65)),NOT(ISNUMBER($A64))),"",$H64+$F65-$H65)</f>
        <v/>
      </c>
      <c r="J65" s="14" t="n"/>
      <c r="K65" s="7">
        <f>IF(OR($I65="",$J65=""),"",$I65-$J65)</f>
        <v/>
      </c>
    </row>
    <row r="66">
      <c r="A66" s="18" t="n"/>
      <c r="B66" s="14" t="n"/>
      <c r="C66" s="14" t="n"/>
      <c r="D66" s="14" t="n"/>
      <c r="E66" s="14" t="n"/>
      <c r="F66" s="14" t="n">
        <v>0</v>
      </c>
      <c r="G66" s="19" t="n"/>
      <c r="H66" s="7">
        <f>IF(NOT(ISNUMBER($A66)),"",$B66+$C66+$D66+$E66)</f>
        <v/>
      </c>
      <c r="I66" s="7">
        <f>IF(OR(NOT(ISNUMBER($A66)),NOT(ISNUMBER($A65))),"",$H65+$F66-$H66)</f>
        <v/>
      </c>
      <c r="J66" s="14" t="n"/>
      <c r="K66" s="7">
        <f>IF(OR($I66="",$J66=""),"",$I66-$J66)</f>
        <v/>
      </c>
    </row>
    <row r="67">
      <c r="A67" s="18" t="n"/>
      <c r="B67" s="14" t="n"/>
      <c r="C67" s="14" t="n"/>
      <c r="D67" s="14" t="n"/>
      <c r="E67" s="14" t="n"/>
      <c r="F67" s="14" t="n">
        <v>0</v>
      </c>
      <c r="G67" s="19" t="n"/>
      <c r="H67" s="7">
        <f>IF(NOT(ISNUMBER($A67)),"",$B67+$C67+$D67+$E67)</f>
        <v/>
      </c>
      <c r="I67" s="7">
        <f>IF(OR(NOT(ISNUMBER($A67)),NOT(ISNUMBER($A66))),"",$H66+$F67-$H67)</f>
        <v/>
      </c>
      <c r="J67" s="14" t="n"/>
      <c r="K67" s="7">
        <f>IF(OR($I67="",$J67=""),"",$I67-$J67)</f>
        <v/>
      </c>
    </row>
    <row r="68">
      <c r="A68" s="18" t="n"/>
      <c r="B68" s="14" t="n"/>
      <c r="C68" s="14" t="n"/>
      <c r="D68" s="14" t="n"/>
      <c r="E68" s="14" t="n"/>
      <c r="F68" s="14" t="n">
        <v>0</v>
      </c>
      <c r="G68" s="19" t="n"/>
      <c r="H68" s="7">
        <f>IF(NOT(ISNUMBER($A68)),"",$B68+$C68+$D68+$E68)</f>
        <v/>
      </c>
      <c r="I68" s="7">
        <f>IF(OR(NOT(ISNUMBER($A68)),NOT(ISNUMBER($A67))),"",$H67+$F68-$H68)</f>
        <v/>
      </c>
      <c r="J68" s="14" t="n"/>
      <c r="K68" s="7">
        <f>IF(OR($I68="",$J68=""),"",$I68-$J68)</f>
        <v/>
      </c>
    </row>
    <row r="69">
      <c r="A69" s="18" t="n"/>
      <c r="B69" s="14" t="n"/>
      <c r="C69" s="14" t="n"/>
      <c r="D69" s="14" t="n"/>
      <c r="E69" s="14" t="n"/>
      <c r="F69" s="14" t="n">
        <v>0</v>
      </c>
      <c r="G69" s="19" t="n"/>
      <c r="H69" s="7">
        <f>IF(NOT(ISNUMBER($A69)),"",$B69+$C69+$D69+$E69)</f>
        <v/>
      </c>
      <c r="I69" s="7">
        <f>IF(OR(NOT(ISNUMBER($A69)),NOT(ISNUMBER($A68))),"",$H68+$F69-$H69)</f>
        <v/>
      </c>
      <c r="J69" s="14" t="n"/>
      <c r="K69" s="7">
        <f>IF(OR($I69="",$J69=""),"",$I69-$J69)</f>
        <v/>
      </c>
    </row>
    <row r="70">
      <c r="A70" s="18" t="n"/>
      <c r="B70" s="14" t="n"/>
      <c r="C70" s="14" t="n"/>
      <c r="D70" s="14" t="n"/>
      <c r="E70" s="14" t="n"/>
      <c r="F70" s="14" t="n">
        <v>0</v>
      </c>
      <c r="G70" s="19" t="n"/>
      <c r="H70" s="7">
        <f>IF(NOT(ISNUMBER($A70)),"",$B70+$C70+$D70+$E70)</f>
        <v/>
      </c>
      <c r="I70" s="7">
        <f>IF(OR(NOT(ISNUMBER($A70)),NOT(ISNUMBER($A69))),"",$H69+$F70-$H70)</f>
        <v/>
      </c>
      <c r="J70" s="14" t="n"/>
      <c r="K70" s="7">
        <f>IF(OR($I70="",$J70=""),"",$I70-$J70)</f>
        <v/>
      </c>
    </row>
    <row r="71">
      <c r="A71" s="18" t="n"/>
      <c r="B71" s="14" t="n"/>
      <c r="C71" s="14" t="n"/>
      <c r="D71" s="14" t="n"/>
      <c r="E71" s="14" t="n"/>
      <c r="F71" s="14" t="n">
        <v>0</v>
      </c>
      <c r="G71" s="19" t="n"/>
      <c r="H71" s="7">
        <f>IF(NOT(ISNUMBER($A71)),"",$B71+$C71+$D71+$E71)</f>
        <v/>
      </c>
      <c r="I71" s="7">
        <f>IF(OR(NOT(ISNUMBER($A71)),NOT(ISNUMBER($A70))),"",$H70+$F71-$H71)</f>
        <v/>
      </c>
      <c r="J71" s="14" t="n"/>
      <c r="K71" s="7">
        <f>IF(OR($I71="",$J71=""),"",$I71-$J71)</f>
        <v/>
      </c>
    </row>
    <row r="72">
      <c r="A72" s="18" t="n"/>
      <c r="B72" s="14" t="n"/>
      <c r="C72" s="14" t="n"/>
      <c r="D72" s="14" t="n"/>
      <c r="E72" s="14" t="n"/>
      <c r="F72" s="14" t="n">
        <v>0</v>
      </c>
      <c r="G72" s="19" t="n"/>
      <c r="H72" s="7">
        <f>IF(NOT(ISNUMBER($A72)),"",$B72+$C72+$D72+$E72)</f>
        <v/>
      </c>
      <c r="I72" s="7">
        <f>IF(OR(NOT(ISNUMBER($A72)),NOT(ISNUMBER($A71))),"",$H71+$F72-$H72)</f>
        <v/>
      </c>
      <c r="J72" s="14" t="n"/>
      <c r="K72" s="7">
        <f>IF(OR($I72="",$J72=""),"",$I72-$J72)</f>
        <v/>
      </c>
    </row>
    <row r="73">
      <c r="A73" s="18" t="n"/>
      <c r="B73" s="14" t="n"/>
      <c r="C73" s="14" t="n"/>
      <c r="D73" s="14" t="n"/>
      <c r="E73" s="14" t="n"/>
      <c r="F73" s="14" t="n">
        <v>0</v>
      </c>
      <c r="G73" s="19" t="n"/>
      <c r="H73" s="7">
        <f>IF(NOT(ISNUMBER($A73)),"",$B73+$C73+$D73+$E73)</f>
        <v/>
      </c>
      <c r="I73" s="7">
        <f>IF(OR(NOT(ISNUMBER($A73)),NOT(ISNUMBER($A72))),"",$H72+$F73-$H73)</f>
        <v/>
      </c>
      <c r="J73" s="14" t="n"/>
      <c r="K73" s="7">
        <f>IF(OR($I73="",$J73=""),"",$I73-$J73)</f>
        <v/>
      </c>
    </row>
    <row r="74">
      <c r="A74" s="18" t="n"/>
      <c r="B74" s="14" t="n"/>
      <c r="C74" s="14" t="n"/>
      <c r="D74" s="14" t="n"/>
      <c r="E74" s="14" t="n"/>
      <c r="F74" s="14" t="n">
        <v>0</v>
      </c>
      <c r="G74" s="19" t="n"/>
      <c r="H74" s="7">
        <f>IF(NOT(ISNUMBER($A74)),"",$B74+$C74+$D74+$E74)</f>
        <v/>
      </c>
      <c r="I74" s="7">
        <f>IF(OR(NOT(ISNUMBER($A74)),NOT(ISNUMBER($A73))),"",$H73+$F74-$H74)</f>
        <v/>
      </c>
      <c r="J74" s="14" t="n"/>
      <c r="K74" s="7">
        <f>IF(OR($I74="",$J74=""),"",$I74-$J74)</f>
        <v/>
      </c>
    </row>
    <row r="75">
      <c r="A75" s="18" t="n"/>
      <c r="B75" s="14" t="n"/>
      <c r="C75" s="14" t="n"/>
      <c r="D75" s="14" t="n"/>
      <c r="E75" s="14" t="n"/>
      <c r="F75" s="14" t="n">
        <v>0</v>
      </c>
      <c r="G75" s="19" t="n"/>
      <c r="H75" s="7">
        <f>IF(NOT(ISNUMBER($A75)),"",$B75+$C75+$D75+$E75)</f>
        <v/>
      </c>
      <c r="I75" s="7">
        <f>IF(OR(NOT(ISNUMBER($A75)),NOT(ISNUMBER($A74))),"",$H74+$F75-$H75)</f>
        <v/>
      </c>
      <c r="J75" s="14" t="n"/>
      <c r="K75" s="7">
        <f>IF(OR($I75="",$J75=""),"",$I75-$J75)</f>
        <v/>
      </c>
    </row>
    <row r="76">
      <c r="A76" s="18" t="n"/>
      <c r="B76" s="14" t="n"/>
      <c r="C76" s="14" t="n"/>
      <c r="D76" s="14" t="n"/>
      <c r="E76" s="14" t="n"/>
      <c r="F76" s="14" t="n">
        <v>0</v>
      </c>
      <c r="G76" s="19" t="n"/>
      <c r="H76" s="7">
        <f>IF(NOT(ISNUMBER($A76)),"",$B76+$C76+$D76+$E76)</f>
        <v/>
      </c>
      <c r="I76" s="7">
        <f>IF(OR(NOT(ISNUMBER($A76)),NOT(ISNUMBER($A75))),"",$H75+$F76-$H76)</f>
        <v/>
      </c>
      <c r="J76" s="14" t="n"/>
      <c r="K76" s="7">
        <f>IF(OR($I76="",$J76=""),"",$I76-$J76)</f>
        <v/>
      </c>
    </row>
    <row r="77">
      <c r="A77" s="18" t="n"/>
      <c r="B77" s="14" t="n"/>
      <c r="C77" s="14" t="n"/>
      <c r="D77" s="14" t="n"/>
      <c r="E77" s="14" t="n"/>
      <c r="F77" s="14" t="n">
        <v>0</v>
      </c>
      <c r="G77" s="19" t="n"/>
      <c r="H77" s="7">
        <f>IF(NOT(ISNUMBER($A77)),"",$B77+$C77+$D77+$E77)</f>
        <v/>
      </c>
      <c r="I77" s="7">
        <f>IF(OR(NOT(ISNUMBER($A77)),NOT(ISNUMBER($A76))),"",$H76+$F77-$H77)</f>
        <v/>
      </c>
      <c r="J77" s="14" t="n"/>
      <c r="K77" s="7">
        <f>IF(OR($I77="",$J77=""),"",$I77-$J77)</f>
        <v/>
      </c>
    </row>
    <row r="78">
      <c r="A78" s="18" t="n"/>
      <c r="B78" s="14" t="n"/>
      <c r="C78" s="14" t="n"/>
      <c r="D78" s="14" t="n"/>
      <c r="E78" s="14" t="n"/>
      <c r="F78" s="14" t="n">
        <v>0</v>
      </c>
      <c r="G78" s="19" t="n"/>
      <c r="H78" s="7">
        <f>IF(NOT(ISNUMBER($A78)),"",$B78+$C78+$D78+$E78)</f>
        <v/>
      </c>
      <c r="I78" s="7">
        <f>IF(OR(NOT(ISNUMBER($A78)),NOT(ISNUMBER($A77))),"",$H77+$F78-$H78)</f>
        <v/>
      </c>
      <c r="J78" s="14" t="n"/>
      <c r="K78" s="7">
        <f>IF(OR($I78="",$J78=""),"",$I78-$J78)</f>
        <v/>
      </c>
    </row>
    <row r="79">
      <c r="A79" s="18" t="n"/>
      <c r="B79" s="14" t="n"/>
      <c r="C79" s="14" t="n"/>
      <c r="D79" s="14" t="n"/>
      <c r="E79" s="14" t="n"/>
      <c r="F79" s="14" t="n">
        <v>0</v>
      </c>
      <c r="G79" s="19" t="n"/>
      <c r="H79" s="7">
        <f>IF(NOT(ISNUMBER($A79)),"",$B79+$C79+$D79+$E79)</f>
        <v/>
      </c>
      <c r="I79" s="7">
        <f>IF(OR(NOT(ISNUMBER($A79)),NOT(ISNUMBER($A78))),"",$H78+$F79-$H79)</f>
        <v/>
      </c>
      <c r="J79" s="14" t="n"/>
      <c r="K79" s="7">
        <f>IF(OR($I79="",$J79=""),"",$I79-$J79)</f>
        <v/>
      </c>
    </row>
    <row r="80">
      <c r="A80" s="18" t="n"/>
      <c r="B80" s="14" t="n"/>
      <c r="C80" s="14" t="n"/>
      <c r="D80" s="14" t="n"/>
      <c r="E80" s="14" t="n"/>
      <c r="F80" s="14" t="n">
        <v>0</v>
      </c>
      <c r="G80" s="19" t="n"/>
      <c r="H80" s="7">
        <f>IF(NOT(ISNUMBER($A80)),"",$B80+$C80+$D80+$E80)</f>
        <v/>
      </c>
      <c r="I80" s="7">
        <f>IF(OR(NOT(ISNUMBER($A80)),NOT(ISNUMBER($A79))),"",$H79+$F80-$H80)</f>
        <v/>
      </c>
      <c r="J80" s="14" t="n"/>
      <c r="K80" s="7">
        <f>IF(OR($I80="",$J80=""),"",$I80-$J80)</f>
        <v/>
      </c>
    </row>
    <row r="81">
      <c r="A81" s="18" t="n"/>
      <c r="B81" s="14" t="n"/>
      <c r="C81" s="14" t="n"/>
      <c r="D81" s="14" t="n"/>
      <c r="E81" s="14" t="n"/>
      <c r="F81" s="14" t="n">
        <v>0</v>
      </c>
      <c r="G81" s="19" t="n"/>
      <c r="H81" s="7">
        <f>IF(NOT(ISNUMBER($A81)),"",$B81+$C81+$D81+$E81)</f>
        <v/>
      </c>
      <c r="I81" s="7">
        <f>IF(OR(NOT(ISNUMBER($A81)),NOT(ISNUMBER($A80))),"",$H80+$F81-$H81)</f>
        <v/>
      </c>
      <c r="J81" s="14" t="n"/>
      <c r="K81" s="7">
        <f>IF(OR($I81="",$J81=""),"",$I81-$J81)</f>
        <v/>
      </c>
    </row>
    <row r="82">
      <c r="A82" s="18" t="n"/>
      <c r="B82" s="14" t="n"/>
      <c r="C82" s="14" t="n"/>
      <c r="D82" s="14" t="n"/>
      <c r="E82" s="14" t="n"/>
      <c r="F82" s="14" t="n">
        <v>0</v>
      </c>
      <c r="G82" s="19" t="n"/>
      <c r="H82" s="7">
        <f>IF(NOT(ISNUMBER($A82)),"",$B82+$C82+$D82+$E82)</f>
        <v/>
      </c>
      <c r="I82" s="7">
        <f>IF(OR(NOT(ISNUMBER($A82)),NOT(ISNUMBER($A81))),"",$H81+$F82-$H82)</f>
        <v/>
      </c>
      <c r="J82" s="14" t="n"/>
      <c r="K82" s="7">
        <f>IF(OR($I82="",$J82=""),"",$I82-$J82)</f>
        <v/>
      </c>
    </row>
    <row r="83">
      <c r="A83" s="18" t="n"/>
      <c r="B83" s="14" t="n"/>
      <c r="C83" s="14" t="n"/>
      <c r="D83" s="14" t="n"/>
      <c r="E83" s="14" t="n"/>
      <c r="F83" s="14" t="n">
        <v>0</v>
      </c>
      <c r="G83" s="19" t="n"/>
      <c r="H83" s="7">
        <f>IF(NOT(ISNUMBER($A83)),"",$B83+$C83+$D83+$E83)</f>
        <v/>
      </c>
      <c r="I83" s="7">
        <f>IF(OR(NOT(ISNUMBER($A83)),NOT(ISNUMBER($A82))),"",$H82+$F83-$H83)</f>
        <v/>
      </c>
      <c r="J83" s="14" t="n"/>
      <c r="K83" s="7">
        <f>IF(OR($I83="",$J83=""),"",$I83-$J83)</f>
        <v/>
      </c>
    </row>
    <row r="84">
      <c r="A84" s="18" t="n"/>
      <c r="B84" s="14" t="n"/>
      <c r="C84" s="14" t="n"/>
      <c r="D84" s="14" t="n"/>
      <c r="E84" s="14" t="n"/>
      <c r="F84" s="14" t="n">
        <v>0</v>
      </c>
      <c r="G84" s="19" t="n"/>
      <c r="H84" s="7">
        <f>IF(NOT(ISNUMBER($A84)),"",$B84+$C84+$D84+$E84)</f>
        <v/>
      </c>
      <c r="I84" s="7">
        <f>IF(OR(NOT(ISNUMBER($A84)),NOT(ISNUMBER($A83))),"",$H83+$F84-$H84)</f>
        <v/>
      </c>
      <c r="J84" s="14" t="n"/>
      <c r="K84" s="7">
        <f>IF(OR($I84="",$J84=""),"",$I84-$J84)</f>
        <v/>
      </c>
    </row>
    <row r="85">
      <c r="A85" s="18" t="n"/>
      <c r="B85" s="14" t="n"/>
      <c r="C85" s="14" t="n"/>
      <c r="D85" s="14" t="n"/>
      <c r="E85" s="14" t="n"/>
      <c r="F85" s="14" t="n">
        <v>0</v>
      </c>
      <c r="G85" s="19" t="n"/>
      <c r="H85" s="7">
        <f>IF(NOT(ISNUMBER($A85)),"",$B85+$C85+$D85+$E85)</f>
        <v/>
      </c>
      <c r="I85" s="7">
        <f>IF(OR(NOT(ISNUMBER($A85)),NOT(ISNUMBER($A84))),"",$H84+$F85-$H85)</f>
        <v/>
      </c>
      <c r="J85" s="14" t="n"/>
      <c r="K85" s="7">
        <f>IF(OR($I85="",$J85=""),"",$I85-$J85)</f>
        <v/>
      </c>
    </row>
    <row r="86">
      <c r="A86" s="18" t="n"/>
      <c r="B86" s="14" t="n"/>
      <c r="C86" s="14" t="n"/>
      <c r="D86" s="14" t="n"/>
      <c r="E86" s="14" t="n"/>
      <c r="F86" s="14" t="n">
        <v>0</v>
      </c>
      <c r="G86" s="19" t="n"/>
      <c r="H86" s="7">
        <f>IF(NOT(ISNUMBER($A86)),"",$B86+$C86+$D86+$E86)</f>
        <v/>
      </c>
      <c r="I86" s="7">
        <f>IF(OR(NOT(ISNUMBER($A86)),NOT(ISNUMBER($A85))),"",$H85+$F86-$H86)</f>
        <v/>
      </c>
      <c r="J86" s="14" t="n"/>
      <c r="K86" s="7">
        <f>IF(OR($I86="",$J86=""),"",$I86-$J86)</f>
        <v/>
      </c>
    </row>
    <row r="87">
      <c r="A87" s="18" t="n"/>
      <c r="B87" s="14" t="n"/>
      <c r="C87" s="14" t="n"/>
      <c r="D87" s="14" t="n"/>
      <c r="E87" s="14" t="n"/>
      <c r="F87" s="14" t="n">
        <v>0</v>
      </c>
      <c r="G87" s="19" t="n"/>
      <c r="H87" s="7">
        <f>IF(NOT(ISNUMBER($A87)),"",$B87+$C87+$D87+$E87)</f>
        <v/>
      </c>
      <c r="I87" s="7">
        <f>IF(OR(NOT(ISNUMBER($A87)),NOT(ISNUMBER($A86))),"",$H86+$F87-$H87)</f>
        <v/>
      </c>
      <c r="J87" s="14" t="n"/>
      <c r="K87" s="7">
        <f>IF(OR($I87="",$J87=""),"",$I87-$J87)</f>
        <v/>
      </c>
    </row>
    <row r="88">
      <c r="A88" s="18" t="n"/>
      <c r="B88" s="14" t="n"/>
      <c r="C88" s="14" t="n"/>
      <c r="D88" s="14" t="n"/>
      <c r="E88" s="14" t="n"/>
      <c r="F88" s="14" t="n">
        <v>0</v>
      </c>
      <c r="G88" s="19" t="n"/>
      <c r="H88" s="7">
        <f>IF(NOT(ISNUMBER($A88)),"",$B88+$C88+$D88+$E88)</f>
        <v/>
      </c>
      <c r="I88" s="7">
        <f>IF(OR(NOT(ISNUMBER($A88)),NOT(ISNUMBER($A87))),"",$H87+$F88-$H88)</f>
        <v/>
      </c>
      <c r="J88" s="14" t="n"/>
      <c r="K88" s="7">
        <f>IF(OR($I88="",$J88=""),"",$I88-$J88)</f>
        <v/>
      </c>
    </row>
    <row r="89">
      <c r="A89" s="18" t="n"/>
      <c r="B89" s="14" t="n"/>
      <c r="C89" s="14" t="n"/>
      <c r="D89" s="14" t="n"/>
      <c r="E89" s="14" t="n"/>
      <c r="F89" s="14" t="n">
        <v>0</v>
      </c>
      <c r="G89" s="19" t="n"/>
      <c r="H89" s="7">
        <f>IF(NOT(ISNUMBER($A89)),"",$B89+$C89+$D89+$E89)</f>
        <v/>
      </c>
      <c r="I89" s="7">
        <f>IF(OR(NOT(ISNUMBER($A89)),NOT(ISNUMBER($A88))),"",$H88+$F89-$H89)</f>
        <v/>
      </c>
      <c r="J89" s="14" t="n"/>
      <c r="K89" s="7">
        <f>IF(OR($I89="",$J89=""),"",$I89-$J89)</f>
        <v/>
      </c>
    </row>
    <row r="90">
      <c r="A90" s="18" t="n"/>
      <c r="B90" s="14" t="n"/>
      <c r="C90" s="14" t="n"/>
      <c r="D90" s="14" t="n"/>
      <c r="E90" s="14" t="n"/>
      <c r="F90" s="14" t="n">
        <v>0</v>
      </c>
      <c r="G90" s="19" t="n"/>
      <c r="H90" s="7">
        <f>IF(NOT(ISNUMBER($A90)),"",$B90+$C90+$D90+$E90)</f>
        <v/>
      </c>
      <c r="I90" s="7">
        <f>IF(OR(NOT(ISNUMBER($A90)),NOT(ISNUMBER($A89))),"",$H89+$F90-$H90)</f>
        <v/>
      </c>
      <c r="J90" s="14" t="n"/>
      <c r="K90" s="7">
        <f>IF(OR($I90="",$J90=""),"",$I90-$J90)</f>
        <v/>
      </c>
    </row>
    <row r="91">
      <c r="A91" s="18" t="n"/>
      <c r="B91" s="14" t="n"/>
      <c r="C91" s="14" t="n"/>
      <c r="D91" s="14" t="n"/>
      <c r="E91" s="14" t="n"/>
      <c r="F91" s="14" t="n">
        <v>0</v>
      </c>
      <c r="G91" s="19" t="n"/>
      <c r="H91" s="7">
        <f>IF(NOT(ISNUMBER($A91)),"",$B91+$C91+$D91+$E91)</f>
        <v/>
      </c>
      <c r="I91" s="7">
        <f>IF(OR(NOT(ISNUMBER($A91)),NOT(ISNUMBER($A90))),"",$H90+$F91-$H91)</f>
        <v/>
      </c>
      <c r="J91" s="14" t="n"/>
      <c r="K91" s="7">
        <f>IF(OR($I91="",$J91=""),"",$I91-$J91)</f>
        <v/>
      </c>
    </row>
    <row r="92">
      <c r="A92" s="18" t="n"/>
      <c r="B92" s="14" t="n"/>
      <c r="C92" s="14" t="n"/>
      <c r="D92" s="14" t="n"/>
      <c r="E92" s="14" t="n"/>
      <c r="F92" s="14" t="n">
        <v>0</v>
      </c>
      <c r="G92" s="19" t="n"/>
      <c r="H92" s="7">
        <f>IF(NOT(ISNUMBER($A92)),"",$B92+$C92+$D92+$E92)</f>
        <v/>
      </c>
      <c r="I92" s="7">
        <f>IF(OR(NOT(ISNUMBER($A92)),NOT(ISNUMBER($A91))),"",$H91+$F92-$H92)</f>
        <v/>
      </c>
      <c r="J92" s="14" t="n"/>
      <c r="K92" s="7">
        <f>IF(OR($I92="",$J92=""),"",$I92-$J92)</f>
        <v/>
      </c>
    </row>
    <row r="93">
      <c r="A93" s="18" t="n"/>
      <c r="B93" s="14" t="n"/>
      <c r="C93" s="14" t="n"/>
      <c r="D93" s="14" t="n"/>
      <c r="E93" s="14" t="n"/>
      <c r="F93" s="14" t="n">
        <v>0</v>
      </c>
      <c r="G93" s="19" t="n"/>
      <c r="H93" s="7">
        <f>IF(NOT(ISNUMBER($A93)),"",$B93+$C93+$D93+$E93)</f>
        <v/>
      </c>
      <c r="I93" s="7">
        <f>IF(OR(NOT(ISNUMBER($A93)),NOT(ISNUMBER($A92))),"",$H92+$F93-$H93)</f>
        <v/>
      </c>
      <c r="J93" s="14" t="n"/>
      <c r="K93" s="7">
        <f>IF(OR($I93="",$J93=""),"",$I93-$J93)</f>
        <v/>
      </c>
    </row>
    <row r="94">
      <c r="A94" s="18" t="n"/>
      <c r="B94" s="14" t="n"/>
      <c r="C94" s="14" t="n"/>
      <c r="D94" s="14" t="n"/>
      <c r="E94" s="14" t="n"/>
      <c r="F94" s="14" t="n">
        <v>0</v>
      </c>
      <c r="G94" s="19" t="n"/>
      <c r="H94" s="7">
        <f>IF(NOT(ISNUMBER($A94)),"",$B94+$C94+$D94+$E94)</f>
        <v/>
      </c>
      <c r="I94" s="7">
        <f>IF(OR(NOT(ISNUMBER($A94)),NOT(ISNUMBER($A93))),"",$H93+$F94-$H94)</f>
        <v/>
      </c>
      <c r="J94" s="14" t="n"/>
      <c r="K94" s="7">
        <f>IF(OR($I94="",$J94=""),"",$I94-$J94)</f>
        <v/>
      </c>
    </row>
    <row r="95">
      <c r="A95" s="18" t="n"/>
      <c r="B95" s="14" t="n"/>
      <c r="C95" s="14" t="n"/>
      <c r="D95" s="14" t="n"/>
      <c r="E95" s="14" t="n"/>
      <c r="F95" s="14" t="n">
        <v>0</v>
      </c>
      <c r="G95" s="19" t="n"/>
      <c r="H95" s="7">
        <f>IF(NOT(ISNUMBER($A95)),"",$B95+$C95+$D95+$E95)</f>
        <v/>
      </c>
      <c r="I95" s="7">
        <f>IF(OR(NOT(ISNUMBER($A95)),NOT(ISNUMBER($A94))),"",$H94+$F95-$H95)</f>
        <v/>
      </c>
      <c r="J95" s="14" t="n"/>
      <c r="K95" s="7">
        <f>IF(OR($I95="",$J95=""),"",$I95-$J95)</f>
        <v/>
      </c>
    </row>
    <row r="96">
      <c r="A96" s="18" t="n"/>
      <c r="B96" s="14" t="n"/>
      <c r="C96" s="14" t="n"/>
      <c r="D96" s="14" t="n"/>
      <c r="E96" s="14" t="n"/>
      <c r="F96" s="14" t="n">
        <v>0</v>
      </c>
      <c r="G96" s="19" t="n"/>
      <c r="H96" s="7">
        <f>IF(NOT(ISNUMBER($A96)),"",$B96+$C96+$D96+$E96)</f>
        <v/>
      </c>
      <c r="I96" s="7">
        <f>IF(OR(NOT(ISNUMBER($A96)),NOT(ISNUMBER($A95))),"",$H95+$F96-$H96)</f>
        <v/>
      </c>
      <c r="J96" s="14" t="n"/>
      <c r="K96" s="7">
        <f>IF(OR($I96="",$J96=""),"",$I96-$J96)</f>
        <v/>
      </c>
    </row>
    <row r="97">
      <c r="A97" s="18" t="n"/>
      <c r="B97" s="14" t="n"/>
      <c r="C97" s="14" t="n"/>
      <c r="D97" s="14" t="n"/>
      <c r="E97" s="14" t="n"/>
      <c r="F97" s="14" t="n">
        <v>0</v>
      </c>
      <c r="G97" s="19" t="n"/>
      <c r="H97" s="7">
        <f>IF(NOT(ISNUMBER($A97)),"",$B97+$C97+$D97+$E97)</f>
        <v/>
      </c>
      <c r="I97" s="7">
        <f>IF(OR(NOT(ISNUMBER($A97)),NOT(ISNUMBER($A96))),"",$H96+$F97-$H97)</f>
        <v/>
      </c>
      <c r="J97" s="14" t="n"/>
      <c r="K97" s="7">
        <f>IF(OR($I97="",$J97=""),"",$I97-$J97)</f>
        <v/>
      </c>
    </row>
    <row r="98">
      <c r="A98" s="18" t="n"/>
      <c r="B98" s="14" t="n"/>
      <c r="C98" s="14" t="n"/>
      <c r="D98" s="14" t="n"/>
      <c r="E98" s="14" t="n"/>
      <c r="F98" s="14" t="n">
        <v>0</v>
      </c>
      <c r="G98" s="19" t="n"/>
      <c r="H98" s="7">
        <f>IF(NOT(ISNUMBER($A98)),"",$B98+$C98+$D98+$E98)</f>
        <v/>
      </c>
      <c r="I98" s="7">
        <f>IF(OR(NOT(ISNUMBER($A98)),NOT(ISNUMBER($A97))),"",$H97+$F98-$H98)</f>
        <v/>
      </c>
      <c r="J98" s="14" t="n"/>
      <c r="K98" s="7">
        <f>IF(OR($I98="",$J98=""),"",$I98-$J98)</f>
        <v/>
      </c>
    </row>
    <row r="99">
      <c r="A99" s="18" t="n"/>
      <c r="B99" s="14" t="n"/>
      <c r="C99" s="14" t="n"/>
      <c r="D99" s="14" t="n"/>
      <c r="E99" s="14" t="n"/>
      <c r="F99" s="14" t="n">
        <v>0</v>
      </c>
      <c r="G99" s="19" t="n"/>
      <c r="H99" s="7">
        <f>IF(NOT(ISNUMBER($A99)),"",$B99+$C99+$D99+$E99)</f>
        <v/>
      </c>
      <c r="I99" s="7">
        <f>IF(OR(NOT(ISNUMBER($A99)),NOT(ISNUMBER($A98))),"",$H98+$F99-$H99)</f>
        <v/>
      </c>
      <c r="J99" s="14" t="n"/>
      <c r="K99" s="7">
        <f>IF(OR($I99="",$J99=""),"",$I99-$J99)</f>
        <v/>
      </c>
    </row>
    <row r="100">
      <c r="A100" s="18" t="n"/>
      <c r="B100" s="14" t="n"/>
      <c r="C100" s="14" t="n"/>
      <c r="D100" s="14" t="n"/>
      <c r="E100" s="14" t="n"/>
      <c r="F100" s="14" t="n">
        <v>0</v>
      </c>
      <c r="G100" s="19" t="n"/>
      <c r="H100" s="7">
        <f>IF(NOT(ISNUMBER($A100)),"",$B100+$C100+$D100+$E100)</f>
        <v/>
      </c>
      <c r="I100" s="7">
        <f>IF(OR(NOT(ISNUMBER($A100)),NOT(ISNUMBER($A99))),"",$H99+$F100-$H100)</f>
        <v/>
      </c>
      <c r="J100" s="14" t="n"/>
      <c r="K100" s="7">
        <f>IF(OR($I100="",$J100=""),"",$I100-$J100)</f>
        <v/>
      </c>
    </row>
    <row r="101">
      <c r="A101" s="18" t="n"/>
      <c r="B101" s="14" t="n"/>
      <c r="C101" s="14" t="n"/>
      <c r="D101" s="14" t="n"/>
      <c r="E101" s="14" t="n"/>
      <c r="F101" s="14" t="n">
        <v>0</v>
      </c>
      <c r="G101" s="19" t="n"/>
      <c r="H101" s="7">
        <f>IF(NOT(ISNUMBER($A101)),"",$B101+$C101+$D101+$E101)</f>
        <v/>
      </c>
      <c r="I101" s="7">
        <f>IF(OR(NOT(ISNUMBER($A101)),NOT(ISNUMBER($A100))),"",$H100+$F101-$H101)</f>
        <v/>
      </c>
      <c r="J101" s="14" t="n"/>
      <c r="K101" s="7">
        <f>IF(OR($I101="",$J101=""),"",$I101-$J101)</f>
        <v/>
      </c>
    </row>
    <row r="102">
      <c r="A102" s="18" t="n"/>
      <c r="B102" s="14" t="n"/>
      <c r="C102" s="14" t="n"/>
      <c r="D102" s="14" t="n"/>
      <c r="E102" s="14" t="n"/>
      <c r="F102" s="14" t="n">
        <v>0</v>
      </c>
      <c r="G102" s="19" t="n"/>
      <c r="H102" s="7">
        <f>IF(NOT(ISNUMBER($A102)),"",$B102+$C102+$D102+$E102)</f>
        <v/>
      </c>
      <c r="I102" s="7">
        <f>IF(OR(NOT(ISNUMBER($A102)),NOT(ISNUMBER($A101))),"",$H101+$F102-$H102)</f>
        <v/>
      </c>
      <c r="J102" s="14" t="n"/>
      <c r="K102" s="7">
        <f>IF(OR($I102="",$J102=""),"",$I102-$J102)</f>
        <v/>
      </c>
    </row>
    <row r="103">
      <c r="A103" s="18" t="n"/>
      <c r="B103" s="14" t="n"/>
      <c r="C103" s="14" t="n"/>
      <c r="D103" s="14" t="n"/>
      <c r="E103" s="14" t="n"/>
      <c r="F103" s="14" t="n">
        <v>0</v>
      </c>
      <c r="G103" s="19" t="n"/>
      <c r="H103" s="7">
        <f>IF(NOT(ISNUMBER($A103)),"",$B103+$C103+$D103+$E103)</f>
        <v/>
      </c>
      <c r="I103" s="7">
        <f>IF(OR(NOT(ISNUMBER($A103)),NOT(ISNUMBER($A102))),"",$H102+$F103-$H103)</f>
        <v/>
      </c>
      <c r="J103" s="14" t="n"/>
      <c r="K103" s="7">
        <f>IF(OR($I103="",$J103=""),"",$I103-$J103)</f>
        <v/>
      </c>
    </row>
    <row r="104">
      <c r="A104" s="18" t="n"/>
      <c r="B104" s="14" t="n"/>
      <c r="C104" s="14" t="n"/>
      <c r="D104" s="14" t="n"/>
      <c r="E104" s="14" t="n"/>
      <c r="F104" s="14" t="n">
        <v>0</v>
      </c>
      <c r="G104" s="19" t="n"/>
      <c r="H104" s="7">
        <f>IF(NOT(ISNUMBER($A104)),"",$B104+$C104+$D104+$E104)</f>
        <v/>
      </c>
      <c r="I104" s="7">
        <f>IF(OR(NOT(ISNUMBER($A104)),NOT(ISNUMBER($A103))),"",$H103+$F104-$H104)</f>
        <v/>
      </c>
      <c r="J104" s="14" t="n"/>
      <c r="K104" s="7">
        <f>IF(OR($I104="",$J104=""),"",$I104-$J104)</f>
        <v/>
      </c>
    </row>
    <row r="105">
      <c r="A105" s="18" t="n"/>
      <c r="B105" s="14" t="n"/>
      <c r="C105" s="14" t="n"/>
      <c r="D105" s="14" t="n"/>
      <c r="E105" s="14" t="n"/>
      <c r="F105" s="14" t="n">
        <v>0</v>
      </c>
      <c r="G105" s="19" t="n"/>
      <c r="H105" s="7">
        <f>IF(NOT(ISNUMBER($A105)),"",$B105+$C105+$D105+$E105)</f>
        <v/>
      </c>
      <c r="I105" s="7">
        <f>IF(OR(NOT(ISNUMBER($A105)),NOT(ISNUMBER($A104))),"",$H104+$F105-$H105)</f>
        <v/>
      </c>
      <c r="J105" s="14" t="n"/>
      <c r="K105" s="7">
        <f>IF(OR($I105="",$J105=""),"",$I105-$J105)</f>
        <v/>
      </c>
    </row>
    <row r="106">
      <c r="A106" s="18" t="n"/>
      <c r="B106" s="14" t="n"/>
      <c r="C106" s="14" t="n"/>
      <c r="D106" s="14" t="n"/>
      <c r="E106" s="14" t="n"/>
      <c r="F106" s="14" t="n">
        <v>0</v>
      </c>
      <c r="G106" s="19" t="n"/>
      <c r="H106" s="7">
        <f>IF(NOT(ISNUMBER($A106)),"",$B106+$C106+$D106+$E106)</f>
        <v/>
      </c>
      <c r="I106" s="7">
        <f>IF(OR(NOT(ISNUMBER($A106)),NOT(ISNUMBER($A105))),"",$H105+$F106-$H106)</f>
        <v/>
      </c>
      <c r="J106" s="14" t="n"/>
      <c r="K106" s="7">
        <f>IF(OR($I106="",$J106=""),"",$I106-$J106)</f>
        <v/>
      </c>
    </row>
    <row r="107">
      <c r="A107" s="18" t="n"/>
      <c r="B107" s="14" t="n"/>
      <c r="C107" s="14" t="n"/>
      <c r="D107" s="14" t="n"/>
      <c r="E107" s="14" t="n"/>
      <c r="F107" s="14" t="n">
        <v>0</v>
      </c>
      <c r="G107" s="19" t="n"/>
      <c r="H107" s="7">
        <f>IF(NOT(ISNUMBER($A107)),"",$B107+$C107+$D107+$E107)</f>
        <v/>
      </c>
      <c r="I107" s="7">
        <f>IF(OR(NOT(ISNUMBER($A107)),NOT(ISNUMBER($A106))),"",$H106+$F107-$H107)</f>
        <v/>
      </c>
      <c r="J107" s="14" t="n"/>
      <c r="K107" s="7">
        <f>IF(OR($I107="",$J107=""),"",$I107-$J107)</f>
        <v/>
      </c>
    </row>
    <row r="108">
      <c r="A108" s="18" t="n"/>
      <c r="B108" s="14" t="n"/>
      <c r="C108" s="14" t="n"/>
      <c r="D108" s="14" t="n"/>
      <c r="E108" s="14" t="n"/>
      <c r="F108" s="14" t="n">
        <v>0</v>
      </c>
      <c r="G108" s="19" t="n"/>
      <c r="H108" s="7">
        <f>IF(NOT(ISNUMBER($A108)),"",$B108+$C108+$D108+$E108)</f>
        <v/>
      </c>
      <c r="I108" s="7">
        <f>IF(OR(NOT(ISNUMBER($A108)),NOT(ISNUMBER($A107))),"",$H107+$F108-$H108)</f>
        <v/>
      </c>
      <c r="J108" s="14" t="n"/>
      <c r="K108" s="7">
        <f>IF(OR($I108="",$J108=""),"",$I108-$J108)</f>
        <v/>
      </c>
    </row>
    <row r="109">
      <c r="A109" s="18" t="n"/>
      <c r="B109" s="14" t="n"/>
      <c r="C109" s="14" t="n"/>
      <c r="D109" s="14" t="n"/>
      <c r="E109" s="14" t="n"/>
      <c r="F109" s="14" t="n">
        <v>0</v>
      </c>
      <c r="G109" s="19" t="n"/>
      <c r="H109" s="7">
        <f>IF(NOT(ISNUMBER($A109)),"",$B109+$C109+$D109+$E109)</f>
        <v/>
      </c>
      <c r="I109" s="7">
        <f>IF(OR(NOT(ISNUMBER($A109)),NOT(ISNUMBER($A108))),"",$H108+$F109-$H109)</f>
        <v/>
      </c>
      <c r="J109" s="14" t="n"/>
      <c r="K109" s="7">
        <f>IF(OR($I109="",$J109=""),"",$I109-$J109)</f>
        <v/>
      </c>
    </row>
    <row r="110">
      <c r="A110" s="18" t="n"/>
      <c r="B110" s="14" t="n"/>
      <c r="C110" s="14" t="n"/>
      <c r="D110" s="14" t="n"/>
      <c r="E110" s="14" t="n"/>
      <c r="F110" s="14" t="n">
        <v>0</v>
      </c>
      <c r="G110" s="19" t="n"/>
      <c r="H110" s="7">
        <f>IF(NOT(ISNUMBER($A110)),"",$B110+$C110+$D110+$E110)</f>
        <v/>
      </c>
      <c r="I110" s="7">
        <f>IF(OR(NOT(ISNUMBER($A110)),NOT(ISNUMBER($A109))),"",$H109+$F110-$H110)</f>
        <v/>
      </c>
      <c r="J110" s="14" t="n"/>
      <c r="K110" s="7">
        <f>IF(OR($I110="",$J110=""),"",$I110-$J110)</f>
        <v/>
      </c>
    </row>
    <row r="111">
      <c r="A111" s="18" t="n"/>
      <c r="B111" s="14" t="n"/>
      <c r="C111" s="14" t="n"/>
      <c r="D111" s="14" t="n"/>
      <c r="E111" s="14" t="n"/>
      <c r="F111" s="14" t="n">
        <v>0</v>
      </c>
      <c r="G111" s="19" t="n"/>
      <c r="H111" s="7">
        <f>IF(NOT(ISNUMBER($A111)),"",$B111+$C111+$D111+$E111)</f>
        <v/>
      </c>
      <c r="I111" s="7">
        <f>IF(OR(NOT(ISNUMBER($A111)),NOT(ISNUMBER($A110))),"",$H110+$F111-$H111)</f>
        <v/>
      </c>
      <c r="J111" s="14" t="n"/>
      <c r="K111" s="7">
        <f>IF(OR($I111="",$J111=""),"",$I111-$J111)</f>
        <v/>
      </c>
    </row>
    <row r="112">
      <c r="A112" s="18" t="n"/>
      <c r="B112" s="14" t="n"/>
      <c r="C112" s="14" t="n"/>
      <c r="D112" s="14" t="n"/>
      <c r="E112" s="14" t="n"/>
      <c r="F112" s="14" t="n">
        <v>0</v>
      </c>
      <c r="G112" s="19" t="n"/>
      <c r="H112" s="7">
        <f>IF(NOT(ISNUMBER($A112)),"",$B112+$C112+$D112+$E112)</f>
        <v/>
      </c>
      <c r="I112" s="7">
        <f>IF(OR(NOT(ISNUMBER($A112)),NOT(ISNUMBER($A111))),"",$H111+$F112-$H112)</f>
        <v/>
      </c>
      <c r="J112" s="14" t="n"/>
      <c r="K112" s="7">
        <f>IF(OR($I112="",$J112=""),"",$I112-$J112)</f>
        <v/>
      </c>
    </row>
    <row r="113">
      <c r="A113" s="18" t="n"/>
      <c r="B113" s="14" t="n"/>
      <c r="C113" s="14" t="n"/>
      <c r="D113" s="14" t="n"/>
      <c r="E113" s="14" t="n"/>
      <c r="F113" s="14" t="n">
        <v>0</v>
      </c>
      <c r="G113" s="19" t="n"/>
      <c r="H113" s="7">
        <f>IF(NOT(ISNUMBER($A113)),"",$B113+$C113+$D113+$E113)</f>
        <v/>
      </c>
      <c r="I113" s="7">
        <f>IF(OR(NOT(ISNUMBER($A113)),NOT(ISNUMBER($A112))),"",$H112+$F113-$H113)</f>
        <v/>
      </c>
      <c r="J113" s="14" t="n"/>
      <c r="K113" s="7">
        <f>IF(OR($I113="",$J113=""),"",$I113-$J113)</f>
        <v/>
      </c>
    </row>
    <row r="114">
      <c r="A114" s="18" t="n"/>
      <c r="B114" s="14" t="n"/>
      <c r="C114" s="14" t="n"/>
      <c r="D114" s="14" t="n"/>
      <c r="E114" s="14" t="n"/>
      <c r="F114" s="14" t="n">
        <v>0</v>
      </c>
      <c r="G114" s="19" t="n"/>
      <c r="H114" s="7">
        <f>IF(NOT(ISNUMBER($A114)),"",$B114+$C114+$D114+$E114)</f>
        <v/>
      </c>
      <c r="I114" s="7">
        <f>IF(OR(NOT(ISNUMBER($A114)),NOT(ISNUMBER($A113))),"",$H113+$F114-$H114)</f>
        <v/>
      </c>
      <c r="J114" s="14" t="n"/>
      <c r="K114" s="7">
        <f>IF(OR($I114="",$J114=""),"",$I114-$J114)</f>
        <v/>
      </c>
    </row>
    <row r="115">
      <c r="A115" s="18" t="n"/>
      <c r="B115" s="14" t="n"/>
      <c r="C115" s="14" t="n"/>
      <c r="D115" s="14" t="n"/>
      <c r="E115" s="14" t="n"/>
      <c r="F115" s="14" t="n">
        <v>0</v>
      </c>
      <c r="G115" s="19" t="n"/>
      <c r="H115" s="7">
        <f>IF(NOT(ISNUMBER($A115)),"",$B115+$C115+$D115+$E115)</f>
        <v/>
      </c>
      <c r="I115" s="7">
        <f>IF(OR(NOT(ISNUMBER($A115)),NOT(ISNUMBER($A114))),"",$H114+$F115-$H115)</f>
        <v/>
      </c>
      <c r="J115" s="14" t="n"/>
      <c r="K115" s="7">
        <f>IF(OR($I115="",$J115=""),"",$I115-$J115)</f>
        <v/>
      </c>
    </row>
    <row r="116">
      <c r="A116" s="18" t="n"/>
      <c r="B116" s="14" t="n"/>
      <c r="C116" s="14" t="n"/>
      <c r="D116" s="14" t="n"/>
      <c r="E116" s="14" t="n"/>
      <c r="F116" s="14" t="n">
        <v>0</v>
      </c>
      <c r="G116" s="19" t="n"/>
      <c r="H116" s="7">
        <f>IF(NOT(ISNUMBER($A116)),"",$B116+$C116+$D116+$E116)</f>
        <v/>
      </c>
      <c r="I116" s="7">
        <f>IF(OR(NOT(ISNUMBER($A116)),NOT(ISNUMBER($A115))),"",$H115+$F116-$H116)</f>
        <v/>
      </c>
      <c r="J116" s="14" t="n"/>
      <c r="K116" s="7">
        <f>IF(OR($I116="",$J116=""),"",$I116-$J116)</f>
        <v/>
      </c>
    </row>
    <row r="117">
      <c r="A117" s="18" t="n"/>
      <c r="B117" s="14" t="n"/>
      <c r="C117" s="14" t="n"/>
      <c r="D117" s="14" t="n"/>
      <c r="E117" s="14" t="n"/>
      <c r="F117" s="14" t="n">
        <v>0</v>
      </c>
      <c r="G117" s="19" t="n"/>
      <c r="H117" s="7">
        <f>IF(NOT(ISNUMBER($A117)),"",$B117+$C117+$D117+$E117)</f>
        <v/>
      </c>
      <c r="I117" s="7">
        <f>IF(OR(NOT(ISNUMBER($A117)),NOT(ISNUMBER($A116))),"",$H116+$F117-$H117)</f>
        <v/>
      </c>
      <c r="J117" s="14" t="n"/>
      <c r="K117" s="7">
        <f>IF(OR($I117="",$J117=""),"",$I117-$J117)</f>
        <v/>
      </c>
    </row>
    <row r="118">
      <c r="A118" s="18" t="n"/>
      <c r="B118" s="14" t="n"/>
      <c r="C118" s="14" t="n"/>
      <c r="D118" s="14" t="n"/>
      <c r="E118" s="14" t="n"/>
      <c r="F118" s="14" t="n">
        <v>0</v>
      </c>
      <c r="G118" s="19" t="n"/>
      <c r="H118" s="7">
        <f>IF(NOT(ISNUMBER($A118)),"",$B118+$C118+$D118+$E118)</f>
        <v/>
      </c>
      <c r="I118" s="7">
        <f>IF(OR(NOT(ISNUMBER($A118)),NOT(ISNUMBER($A117))),"",$H117+$F118-$H118)</f>
        <v/>
      </c>
      <c r="J118" s="14" t="n"/>
      <c r="K118" s="7">
        <f>IF(OR($I118="",$J118=""),"",$I118-$J118)</f>
        <v/>
      </c>
    </row>
    <row r="119">
      <c r="A119" s="18" t="n"/>
      <c r="B119" s="14" t="n"/>
      <c r="C119" s="14" t="n"/>
      <c r="D119" s="14" t="n"/>
      <c r="E119" s="14" t="n"/>
      <c r="F119" s="14" t="n">
        <v>0</v>
      </c>
      <c r="G119" s="19" t="n"/>
      <c r="H119" s="7">
        <f>IF(NOT(ISNUMBER($A119)),"",$B119+$C119+$D119+$E119)</f>
        <v/>
      </c>
      <c r="I119" s="7">
        <f>IF(OR(NOT(ISNUMBER($A119)),NOT(ISNUMBER($A118))),"",$H118+$F119-$H119)</f>
        <v/>
      </c>
      <c r="J119" s="14" t="n"/>
      <c r="K119" s="7">
        <f>IF(OR($I119="",$J119=""),"",$I119-$J119)</f>
        <v/>
      </c>
    </row>
    <row r="120">
      <c r="A120" s="18" t="n"/>
      <c r="B120" s="14" t="n"/>
      <c r="C120" s="14" t="n"/>
      <c r="D120" s="14" t="n"/>
      <c r="E120" s="14" t="n"/>
      <c r="F120" s="14" t="n">
        <v>0</v>
      </c>
      <c r="G120" s="19" t="n"/>
      <c r="H120" s="7">
        <f>IF(NOT(ISNUMBER($A120)),"",$B120+$C120+$D120+$E120)</f>
        <v/>
      </c>
      <c r="I120" s="7">
        <f>IF(OR(NOT(ISNUMBER($A120)),NOT(ISNUMBER($A119))),"",$H119+$F120-$H120)</f>
        <v/>
      </c>
      <c r="J120" s="14" t="n"/>
      <c r="K120" s="7">
        <f>IF(OR($I120="",$J120=""),"",$I120-$J120)</f>
        <v/>
      </c>
    </row>
    <row r="121">
      <c r="A121" s="18" t="n"/>
      <c r="B121" s="14" t="n"/>
      <c r="C121" s="14" t="n"/>
      <c r="D121" s="14" t="n"/>
      <c r="E121" s="14" t="n"/>
      <c r="F121" s="14" t="n">
        <v>0</v>
      </c>
      <c r="G121" s="19" t="n"/>
      <c r="H121" s="7">
        <f>IF(NOT(ISNUMBER($A121)),"",$B121+$C121+$D121+$E121)</f>
        <v/>
      </c>
      <c r="I121" s="7">
        <f>IF(OR(NOT(ISNUMBER($A121)),NOT(ISNUMBER($A120))),"",$H120+$F121-$H121)</f>
        <v/>
      </c>
      <c r="J121" s="14" t="n"/>
      <c r="K121" s="7">
        <f>IF(OR($I121="",$J121=""),"",$I121-$J121)</f>
        <v/>
      </c>
    </row>
    <row r="122">
      <c r="A122" s="18" t="n"/>
      <c r="B122" s="14" t="n"/>
      <c r="C122" s="14" t="n"/>
      <c r="D122" s="14" t="n"/>
      <c r="E122" s="14" t="n"/>
      <c r="F122" s="14" t="n">
        <v>0</v>
      </c>
      <c r="G122" s="19" t="n"/>
      <c r="H122" s="7">
        <f>IF(NOT(ISNUMBER($A122)),"",$B122+$C122+$D122+$E122)</f>
        <v/>
      </c>
      <c r="I122" s="7">
        <f>IF(OR(NOT(ISNUMBER($A122)),NOT(ISNUMBER($A121))),"",$H121+$F122-$H122)</f>
        <v/>
      </c>
      <c r="J122" s="14" t="n"/>
      <c r="K122" s="7">
        <f>IF(OR($I122="",$J122=""),"",$I122-$J122)</f>
        <v/>
      </c>
    </row>
    <row r="123">
      <c r="A123" s="18" t="n"/>
      <c r="B123" s="14" t="n"/>
      <c r="C123" s="14" t="n"/>
      <c r="D123" s="14" t="n"/>
      <c r="E123" s="14" t="n"/>
      <c r="F123" s="14" t="n">
        <v>0</v>
      </c>
      <c r="G123" s="19" t="n"/>
      <c r="H123" s="7">
        <f>IF(NOT(ISNUMBER($A123)),"",$B123+$C123+$D123+$E123)</f>
        <v/>
      </c>
      <c r="I123" s="7">
        <f>IF(OR(NOT(ISNUMBER($A123)),NOT(ISNUMBER($A122))),"",$H122+$F123-$H123)</f>
        <v/>
      </c>
      <c r="J123" s="14" t="n"/>
      <c r="K123" s="7">
        <f>IF(OR($I123="",$J123=""),"",$I123-$J123)</f>
        <v/>
      </c>
    </row>
    <row r="124">
      <c r="A124" s="18" t="n"/>
      <c r="B124" s="14" t="n"/>
      <c r="C124" s="14" t="n"/>
      <c r="D124" s="14" t="n"/>
      <c r="E124" s="14" t="n"/>
      <c r="F124" s="14" t="n">
        <v>0</v>
      </c>
      <c r="G124" s="19" t="n"/>
      <c r="H124" s="7">
        <f>IF(NOT(ISNUMBER($A124)),"",$B124+$C124+$D124+$E124)</f>
        <v/>
      </c>
      <c r="I124" s="7">
        <f>IF(OR(NOT(ISNUMBER($A124)),NOT(ISNUMBER($A123))),"",$H123+$F124-$H124)</f>
        <v/>
      </c>
      <c r="J124" s="14" t="n"/>
      <c r="K124" s="7">
        <f>IF(OR($I124="",$J124=""),"",$I124-$J124)</f>
        <v/>
      </c>
    </row>
    <row r="125">
      <c r="A125" s="18" t="n"/>
      <c r="B125" s="14" t="n"/>
      <c r="C125" s="14" t="n"/>
      <c r="D125" s="14" t="n"/>
      <c r="E125" s="14" t="n"/>
      <c r="F125" s="14" t="n">
        <v>0</v>
      </c>
      <c r="G125" s="19" t="n"/>
      <c r="H125" s="7">
        <f>IF(NOT(ISNUMBER($A125)),"",$B125+$C125+$D125+$E125)</f>
        <v/>
      </c>
      <c r="I125" s="7">
        <f>IF(OR(NOT(ISNUMBER($A125)),NOT(ISNUMBER($A124))),"",$H124+$F125-$H125)</f>
        <v/>
      </c>
      <c r="J125" s="14" t="n"/>
      <c r="K125" s="7">
        <f>IF(OR($I125="",$J125=""),"",$I125-$J125)</f>
        <v/>
      </c>
    </row>
    <row r="126">
      <c r="A126" s="18" t="n"/>
      <c r="B126" s="14" t="n"/>
      <c r="C126" s="14" t="n"/>
      <c r="D126" s="14" t="n"/>
      <c r="E126" s="14" t="n"/>
      <c r="F126" s="14" t="n">
        <v>0</v>
      </c>
      <c r="G126" s="19" t="n"/>
      <c r="H126" s="7">
        <f>IF(NOT(ISNUMBER($A126)),"",$B126+$C126+$D126+$E126)</f>
        <v/>
      </c>
      <c r="I126" s="7">
        <f>IF(OR(NOT(ISNUMBER($A126)),NOT(ISNUMBER($A125))),"",$H125+$F126-$H126)</f>
        <v/>
      </c>
      <c r="J126" s="14" t="n"/>
      <c r="K126" s="7">
        <f>IF(OR($I126="",$J126=""),"",$I126-$J126)</f>
        <v/>
      </c>
    </row>
    <row r="127">
      <c r="A127" s="18" t="n"/>
      <c r="B127" s="14" t="n"/>
      <c r="C127" s="14" t="n"/>
      <c r="D127" s="14" t="n"/>
      <c r="E127" s="14" t="n"/>
      <c r="F127" s="14" t="n">
        <v>0</v>
      </c>
      <c r="G127" s="19" t="n"/>
      <c r="H127" s="7">
        <f>IF(NOT(ISNUMBER($A127)),"",$B127+$C127+$D127+$E127)</f>
        <v/>
      </c>
      <c r="I127" s="7">
        <f>IF(OR(NOT(ISNUMBER($A127)),NOT(ISNUMBER($A126))),"",$H126+$F127-$H127)</f>
        <v/>
      </c>
      <c r="J127" s="14" t="n"/>
      <c r="K127" s="7">
        <f>IF(OR($I127="",$J127=""),"",$I127-$J127)</f>
        <v/>
      </c>
    </row>
    <row r="128">
      <c r="A128" s="18" t="n"/>
      <c r="B128" s="14" t="n"/>
      <c r="C128" s="14" t="n"/>
      <c r="D128" s="14" t="n"/>
      <c r="E128" s="14" t="n"/>
      <c r="F128" s="14" t="n">
        <v>0</v>
      </c>
      <c r="G128" s="19" t="n"/>
      <c r="H128" s="7">
        <f>IF(NOT(ISNUMBER($A128)),"",$B128+$C128+$D128+$E128)</f>
        <v/>
      </c>
      <c r="I128" s="7">
        <f>IF(OR(NOT(ISNUMBER($A128)),NOT(ISNUMBER($A127))),"",$H127+$F128-$H128)</f>
        <v/>
      </c>
      <c r="J128" s="14" t="n"/>
      <c r="K128" s="7">
        <f>IF(OR($I128="",$J128=""),"",$I128-$J128)</f>
        <v/>
      </c>
    </row>
    <row r="129">
      <c r="A129" s="18" t="n"/>
      <c r="B129" s="14" t="n"/>
      <c r="C129" s="14" t="n"/>
      <c r="D129" s="14" t="n"/>
      <c r="E129" s="14" t="n"/>
      <c r="F129" s="14" t="n">
        <v>0</v>
      </c>
      <c r="G129" s="19" t="n"/>
      <c r="H129" s="7">
        <f>IF(NOT(ISNUMBER($A129)),"",$B129+$C129+$D129+$E129)</f>
        <v/>
      </c>
      <c r="I129" s="7">
        <f>IF(OR(NOT(ISNUMBER($A129)),NOT(ISNUMBER($A128))),"",$H128+$F129-$H129)</f>
        <v/>
      </c>
      <c r="J129" s="14" t="n"/>
      <c r="K129" s="7">
        <f>IF(OR($I129="",$J129=""),"",$I129-$J129)</f>
        <v/>
      </c>
    </row>
    <row r="130">
      <c r="A130" s="18" t="n"/>
      <c r="B130" s="14" t="n"/>
      <c r="C130" s="14" t="n"/>
      <c r="D130" s="14" t="n"/>
      <c r="E130" s="14" t="n"/>
      <c r="F130" s="14" t="n">
        <v>0</v>
      </c>
      <c r="G130" s="19" t="n"/>
      <c r="H130" s="7">
        <f>IF(NOT(ISNUMBER($A130)),"",$B130+$C130+$D130+$E130)</f>
        <v/>
      </c>
      <c r="I130" s="7">
        <f>IF(OR(NOT(ISNUMBER($A130)),NOT(ISNUMBER($A129))),"",$H129+$F130-$H130)</f>
        <v/>
      </c>
      <c r="J130" s="14" t="n"/>
      <c r="K130" s="7">
        <f>IF(OR($I130="",$J130=""),"",$I130-$J130)</f>
        <v/>
      </c>
    </row>
    <row r="131">
      <c r="A131" s="18" t="n"/>
      <c r="B131" s="14" t="n"/>
      <c r="C131" s="14" t="n"/>
      <c r="D131" s="14" t="n"/>
      <c r="E131" s="14" t="n"/>
      <c r="F131" s="14" t="n">
        <v>0</v>
      </c>
      <c r="G131" s="19" t="n"/>
      <c r="H131" s="7">
        <f>IF(NOT(ISNUMBER($A131)),"",$B131+$C131+$D131+$E131)</f>
        <v/>
      </c>
      <c r="I131" s="7">
        <f>IF(OR(NOT(ISNUMBER($A131)),NOT(ISNUMBER($A130))),"",$H130+$F131-$H131)</f>
        <v/>
      </c>
      <c r="J131" s="14" t="n"/>
      <c r="K131" s="7">
        <f>IF(OR($I131="",$J131=""),"",$I131-$J131)</f>
        <v/>
      </c>
    </row>
    <row r="132">
      <c r="A132" s="18" t="n"/>
      <c r="B132" s="14" t="n"/>
      <c r="C132" s="14" t="n"/>
      <c r="D132" s="14" t="n"/>
      <c r="E132" s="14" t="n"/>
      <c r="F132" s="14" t="n">
        <v>0</v>
      </c>
      <c r="G132" s="19" t="n"/>
      <c r="H132" s="7">
        <f>IF(NOT(ISNUMBER($A132)),"",$B132+$C132+$D132+$E132)</f>
        <v/>
      </c>
      <c r="I132" s="7">
        <f>IF(OR(NOT(ISNUMBER($A132)),NOT(ISNUMBER($A131))),"",$H131+$F132-$H132)</f>
        <v/>
      </c>
      <c r="J132" s="14" t="n"/>
      <c r="K132" s="7">
        <f>IF(OR($I132="",$J132=""),"",$I132-$J132)</f>
        <v/>
      </c>
    </row>
    <row r="133">
      <c r="A133" s="18" t="n"/>
      <c r="B133" s="14" t="n"/>
      <c r="C133" s="14" t="n"/>
      <c r="D133" s="14" t="n"/>
      <c r="E133" s="14" t="n"/>
      <c r="F133" s="14" t="n">
        <v>0</v>
      </c>
      <c r="G133" s="19" t="n"/>
      <c r="H133" s="7">
        <f>IF(NOT(ISNUMBER($A133)),"",$B133+$C133+$D133+$E133)</f>
        <v/>
      </c>
      <c r="I133" s="7">
        <f>IF(OR(NOT(ISNUMBER($A133)),NOT(ISNUMBER($A132))),"",$H132+$F133-$H133)</f>
        <v/>
      </c>
      <c r="J133" s="14" t="n"/>
      <c r="K133" s="7">
        <f>IF(OR($I133="",$J133=""),"",$I133-$J133)</f>
        <v/>
      </c>
    </row>
    <row r="134">
      <c r="A134" s="18" t="n"/>
      <c r="B134" s="14" t="n"/>
      <c r="C134" s="14" t="n"/>
      <c r="D134" s="14" t="n"/>
      <c r="E134" s="14" t="n"/>
      <c r="F134" s="14" t="n">
        <v>0</v>
      </c>
      <c r="G134" s="19" t="n"/>
      <c r="H134" s="7">
        <f>IF(NOT(ISNUMBER($A134)),"",$B134+$C134+$D134+$E134)</f>
        <v/>
      </c>
      <c r="I134" s="7">
        <f>IF(OR(NOT(ISNUMBER($A134)),NOT(ISNUMBER($A133))),"",$H133+$F134-$H134)</f>
        <v/>
      </c>
      <c r="J134" s="14" t="n"/>
      <c r="K134" s="7">
        <f>IF(OR($I134="",$J134=""),"",$I134-$J134)</f>
        <v/>
      </c>
    </row>
    <row r="135">
      <c r="A135" s="18" t="n"/>
      <c r="B135" s="14" t="n"/>
      <c r="C135" s="14" t="n"/>
      <c r="D135" s="14" t="n"/>
      <c r="E135" s="14" t="n"/>
      <c r="F135" s="14" t="n">
        <v>0</v>
      </c>
      <c r="G135" s="19" t="n"/>
      <c r="H135" s="7">
        <f>IF(NOT(ISNUMBER($A135)),"",$B135+$C135+$D135+$E135)</f>
        <v/>
      </c>
      <c r="I135" s="7">
        <f>IF(OR(NOT(ISNUMBER($A135)),NOT(ISNUMBER($A134))),"",$H134+$F135-$H135)</f>
        <v/>
      </c>
      <c r="J135" s="14" t="n"/>
      <c r="K135" s="7">
        <f>IF(OR($I135="",$J135=""),"",$I135-$J135)</f>
        <v/>
      </c>
    </row>
    <row r="136">
      <c r="A136" s="18" t="n"/>
      <c r="B136" s="14" t="n"/>
      <c r="C136" s="14" t="n"/>
      <c r="D136" s="14" t="n"/>
      <c r="E136" s="14" t="n"/>
      <c r="F136" s="14" t="n">
        <v>0</v>
      </c>
      <c r="G136" s="19" t="n"/>
      <c r="H136" s="7">
        <f>IF(NOT(ISNUMBER($A136)),"",$B136+$C136+$D136+$E136)</f>
        <v/>
      </c>
      <c r="I136" s="7">
        <f>IF(OR(NOT(ISNUMBER($A136)),NOT(ISNUMBER($A135))),"",$H135+$F136-$H136)</f>
        <v/>
      </c>
      <c r="J136" s="14" t="n"/>
      <c r="K136" s="7">
        <f>IF(OR($I136="",$J136=""),"",$I136-$J136)</f>
        <v/>
      </c>
    </row>
    <row r="137">
      <c r="A137" s="18" t="n"/>
      <c r="B137" s="14" t="n"/>
      <c r="C137" s="14" t="n"/>
      <c r="D137" s="14" t="n"/>
      <c r="E137" s="14" t="n"/>
      <c r="F137" s="14" t="n">
        <v>0</v>
      </c>
      <c r="G137" s="19" t="n"/>
      <c r="H137" s="7">
        <f>IF(NOT(ISNUMBER($A137)),"",$B137+$C137+$D137+$E137)</f>
        <v/>
      </c>
      <c r="I137" s="7">
        <f>IF(OR(NOT(ISNUMBER($A137)),NOT(ISNUMBER($A136))),"",$H136+$F137-$H137)</f>
        <v/>
      </c>
      <c r="J137" s="14" t="n"/>
      <c r="K137" s="7">
        <f>IF(OR($I137="",$J137=""),"",$I137-$J137)</f>
        <v/>
      </c>
    </row>
    <row r="138">
      <c r="A138" s="18" t="n"/>
      <c r="B138" s="14" t="n"/>
      <c r="C138" s="14" t="n"/>
      <c r="D138" s="14" t="n"/>
      <c r="E138" s="14" t="n"/>
      <c r="F138" s="14" t="n">
        <v>0</v>
      </c>
      <c r="G138" s="19" t="n"/>
      <c r="H138" s="7">
        <f>IF(NOT(ISNUMBER($A138)),"",$B138+$C138+$D138+$E138)</f>
        <v/>
      </c>
      <c r="I138" s="7">
        <f>IF(OR(NOT(ISNUMBER($A138)),NOT(ISNUMBER($A137))),"",$H137+$F138-$H138)</f>
        <v/>
      </c>
      <c r="J138" s="14" t="n"/>
      <c r="K138" s="7">
        <f>IF(OR($I138="",$J138=""),"",$I138-$J138)</f>
        <v/>
      </c>
    </row>
    <row r="139">
      <c r="A139" s="18" t="n"/>
      <c r="B139" s="14" t="n"/>
      <c r="C139" s="14" t="n"/>
      <c r="D139" s="14" t="n"/>
      <c r="E139" s="14" t="n"/>
      <c r="F139" s="14" t="n">
        <v>0</v>
      </c>
      <c r="G139" s="19" t="n"/>
      <c r="H139" s="7">
        <f>IF(NOT(ISNUMBER($A139)),"",$B139+$C139+$D139+$E139)</f>
        <v/>
      </c>
      <c r="I139" s="7">
        <f>IF(OR(NOT(ISNUMBER($A139)),NOT(ISNUMBER($A138))),"",$H138+$F139-$H139)</f>
        <v/>
      </c>
      <c r="J139" s="14" t="n"/>
      <c r="K139" s="7">
        <f>IF(OR($I139="",$J139=""),"",$I139-$J139)</f>
        <v/>
      </c>
    </row>
    <row r="140">
      <c r="A140" s="18" t="n"/>
      <c r="B140" s="14" t="n"/>
      <c r="C140" s="14" t="n"/>
      <c r="D140" s="14" t="n"/>
      <c r="E140" s="14" t="n"/>
      <c r="F140" s="14" t="n">
        <v>0</v>
      </c>
      <c r="G140" s="19" t="n"/>
      <c r="H140" s="7">
        <f>IF(NOT(ISNUMBER($A140)),"",$B140+$C140+$D140+$E140)</f>
        <v/>
      </c>
      <c r="I140" s="7">
        <f>IF(OR(NOT(ISNUMBER($A140)),NOT(ISNUMBER($A139))),"",$H139+$F140-$H140)</f>
        <v/>
      </c>
      <c r="J140" s="14" t="n"/>
      <c r="K140" s="7">
        <f>IF(OR($I140="",$J140=""),"",$I140-$J140)</f>
        <v/>
      </c>
    </row>
    <row r="141">
      <c r="A141" s="18" t="n"/>
      <c r="B141" s="14" t="n"/>
      <c r="C141" s="14" t="n"/>
      <c r="D141" s="14" t="n"/>
      <c r="E141" s="14" t="n"/>
      <c r="F141" s="14" t="n">
        <v>0</v>
      </c>
      <c r="G141" s="19" t="n"/>
      <c r="H141" s="7">
        <f>IF(NOT(ISNUMBER($A141)),"",$B141+$C141+$D141+$E141)</f>
        <v/>
      </c>
      <c r="I141" s="7">
        <f>IF(OR(NOT(ISNUMBER($A141)),NOT(ISNUMBER($A140))),"",$H140+$F141-$H141)</f>
        <v/>
      </c>
      <c r="J141" s="14" t="n"/>
      <c r="K141" s="7">
        <f>IF(OR($I141="",$J141=""),"",$I141-$J141)</f>
        <v/>
      </c>
    </row>
    <row r="142">
      <c r="A142" s="18" t="n"/>
      <c r="B142" s="14" t="n"/>
      <c r="C142" s="14" t="n"/>
      <c r="D142" s="14" t="n"/>
      <c r="E142" s="14" t="n"/>
      <c r="F142" s="14" t="n">
        <v>0</v>
      </c>
      <c r="G142" s="19" t="n"/>
      <c r="H142" s="7">
        <f>IF(NOT(ISNUMBER($A142)),"",$B142+$C142+$D142+$E142)</f>
        <v/>
      </c>
      <c r="I142" s="7">
        <f>IF(OR(NOT(ISNUMBER($A142)),NOT(ISNUMBER($A141))),"",$H141+$F142-$H142)</f>
        <v/>
      </c>
      <c r="J142" s="14" t="n"/>
      <c r="K142" s="7">
        <f>IF(OR($I142="",$J142=""),"",$I142-$J142)</f>
        <v/>
      </c>
    </row>
    <row r="143">
      <c r="A143" s="18" t="n"/>
      <c r="B143" s="14" t="n"/>
      <c r="C143" s="14" t="n"/>
      <c r="D143" s="14" t="n"/>
      <c r="E143" s="14" t="n"/>
      <c r="F143" s="14" t="n">
        <v>0</v>
      </c>
      <c r="G143" s="19" t="n"/>
      <c r="H143" s="7">
        <f>IF(NOT(ISNUMBER($A143)),"",$B143+$C143+$D143+$E143)</f>
        <v/>
      </c>
      <c r="I143" s="7">
        <f>IF(OR(NOT(ISNUMBER($A143)),NOT(ISNUMBER($A142))),"",$H142+$F143-$H143)</f>
        <v/>
      </c>
      <c r="J143" s="14" t="n"/>
      <c r="K143" s="7">
        <f>IF(OR($I143="",$J143=""),"",$I143-$J143)</f>
        <v/>
      </c>
    </row>
    <row r="144">
      <c r="A144" s="18" t="n"/>
      <c r="B144" s="14" t="n"/>
      <c r="C144" s="14" t="n"/>
      <c r="D144" s="14" t="n"/>
      <c r="E144" s="14" t="n"/>
      <c r="F144" s="14" t="n">
        <v>0</v>
      </c>
      <c r="G144" s="19" t="n"/>
      <c r="H144" s="7">
        <f>IF(NOT(ISNUMBER($A144)),"",$B144+$C144+$D144+$E144)</f>
        <v/>
      </c>
      <c r="I144" s="7">
        <f>IF(OR(NOT(ISNUMBER($A144)),NOT(ISNUMBER($A143))),"",$H143+$F144-$H144)</f>
        <v/>
      </c>
      <c r="J144" s="14" t="n"/>
      <c r="K144" s="7">
        <f>IF(OR($I144="",$J144=""),"",$I144-$J144)</f>
        <v/>
      </c>
    </row>
    <row r="145">
      <c r="A145" s="18" t="n"/>
      <c r="B145" s="14" t="n"/>
      <c r="C145" s="14" t="n"/>
      <c r="D145" s="14" t="n"/>
      <c r="E145" s="14" t="n"/>
      <c r="F145" s="14" t="n">
        <v>0</v>
      </c>
      <c r="G145" s="19" t="n"/>
      <c r="H145" s="7">
        <f>IF(NOT(ISNUMBER($A145)),"",$B145+$C145+$D145+$E145)</f>
        <v/>
      </c>
      <c r="I145" s="7">
        <f>IF(OR(NOT(ISNUMBER($A145)),NOT(ISNUMBER($A144))),"",$H144+$F145-$H145)</f>
        <v/>
      </c>
      <c r="J145" s="14" t="n"/>
      <c r="K145" s="7">
        <f>IF(OR($I145="",$J145=""),"",$I145-$J145)</f>
        <v/>
      </c>
    </row>
    <row r="146">
      <c r="A146" s="18" t="n"/>
      <c r="B146" s="14" t="n"/>
      <c r="C146" s="14" t="n"/>
      <c r="D146" s="14" t="n"/>
      <c r="E146" s="14" t="n"/>
      <c r="F146" s="14" t="n">
        <v>0</v>
      </c>
      <c r="G146" s="19" t="n"/>
      <c r="H146" s="7">
        <f>IF(NOT(ISNUMBER($A146)),"",$B146+$C146+$D146+$E146)</f>
        <v/>
      </c>
      <c r="I146" s="7">
        <f>IF(OR(NOT(ISNUMBER($A146)),NOT(ISNUMBER($A145))),"",$H145+$F146-$H146)</f>
        <v/>
      </c>
      <c r="J146" s="14" t="n"/>
      <c r="K146" s="7">
        <f>IF(OR($I146="",$J146=""),"",$I146-$J146)</f>
        <v/>
      </c>
    </row>
    <row r="147">
      <c r="A147" s="18" t="n"/>
      <c r="B147" s="14" t="n"/>
      <c r="C147" s="14" t="n"/>
      <c r="D147" s="14" t="n"/>
      <c r="E147" s="14" t="n"/>
      <c r="F147" s="14" t="n">
        <v>0</v>
      </c>
      <c r="G147" s="19" t="n"/>
      <c r="H147" s="7">
        <f>IF(NOT(ISNUMBER($A147)),"",$B147+$C147+$D147+$E147)</f>
        <v/>
      </c>
      <c r="I147" s="7">
        <f>IF(OR(NOT(ISNUMBER($A147)),NOT(ISNUMBER($A146))),"",$H146+$F147-$H147)</f>
        <v/>
      </c>
      <c r="J147" s="14" t="n"/>
      <c r="K147" s="7">
        <f>IF(OR($I147="",$J147=""),"",$I147-$J147)</f>
        <v/>
      </c>
    </row>
    <row r="148">
      <c r="A148" s="18" t="n"/>
      <c r="B148" s="14" t="n"/>
      <c r="C148" s="14" t="n"/>
      <c r="D148" s="14" t="n"/>
      <c r="E148" s="14" t="n"/>
      <c r="F148" s="14" t="n">
        <v>0</v>
      </c>
      <c r="G148" s="19" t="n"/>
      <c r="H148" s="7">
        <f>IF(NOT(ISNUMBER($A148)),"",$B148+$C148+$D148+$E148)</f>
        <v/>
      </c>
      <c r="I148" s="7">
        <f>IF(OR(NOT(ISNUMBER($A148)),NOT(ISNUMBER($A147))),"",$H147+$F148-$H148)</f>
        <v/>
      </c>
      <c r="J148" s="14" t="n"/>
      <c r="K148" s="7">
        <f>IF(OR($I148="",$J148=""),"",$I148-$J148)</f>
        <v/>
      </c>
    </row>
    <row r="149">
      <c r="A149" s="18" t="n"/>
      <c r="B149" s="14" t="n"/>
      <c r="C149" s="14" t="n"/>
      <c r="D149" s="14" t="n"/>
      <c r="E149" s="14" t="n"/>
      <c r="F149" s="14" t="n">
        <v>0</v>
      </c>
      <c r="G149" s="19" t="n"/>
      <c r="H149" s="7">
        <f>IF(NOT(ISNUMBER($A149)),"",$B149+$C149+$D149+$E149)</f>
        <v/>
      </c>
      <c r="I149" s="7">
        <f>IF(OR(NOT(ISNUMBER($A149)),NOT(ISNUMBER($A148))),"",$H148+$F149-$H149)</f>
        <v/>
      </c>
      <c r="J149" s="14" t="n"/>
      <c r="K149" s="7">
        <f>IF(OR($I149="",$J149=""),"",$I149-$J149)</f>
        <v/>
      </c>
    </row>
    <row r="150">
      <c r="A150" s="18" t="n"/>
      <c r="B150" s="14" t="n"/>
      <c r="C150" s="14" t="n"/>
      <c r="D150" s="14" t="n"/>
      <c r="E150" s="14" t="n"/>
      <c r="F150" s="14" t="n">
        <v>0</v>
      </c>
      <c r="G150" s="19" t="n"/>
      <c r="H150" s="7">
        <f>IF(NOT(ISNUMBER($A150)),"",$B150+$C150+$D150+$E150)</f>
        <v/>
      </c>
      <c r="I150" s="7">
        <f>IF(OR(NOT(ISNUMBER($A150)),NOT(ISNUMBER($A149))),"",$H149+$F150-$H150)</f>
        <v/>
      </c>
      <c r="J150" s="14" t="n"/>
      <c r="K150" s="7">
        <f>IF(OR($I150="",$J150=""),"",$I150-$J150)</f>
        <v/>
      </c>
    </row>
    <row r="151">
      <c r="A151" s="18" t="n"/>
      <c r="B151" s="14" t="n"/>
      <c r="C151" s="14" t="n"/>
      <c r="D151" s="14" t="n"/>
      <c r="E151" s="14" t="n"/>
      <c r="F151" s="14" t="n">
        <v>0</v>
      </c>
      <c r="G151" s="19" t="n"/>
      <c r="H151" s="7">
        <f>IF(NOT(ISNUMBER($A151)),"",$B151+$C151+$D151+$E151)</f>
        <v/>
      </c>
      <c r="I151" s="7">
        <f>IF(OR(NOT(ISNUMBER($A151)),NOT(ISNUMBER($A150))),"",$H150+$F151-$H151)</f>
        <v/>
      </c>
      <c r="J151" s="14" t="n"/>
      <c r="K151" s="7">
        <f>IF(OR($I151="",$J151=""),"",$I151-$J151)</f>
        <v/>
      </c>
    </row>
    <row r="152">
      <c r="A152" s="18" t="n"/>
      <c r="B152" s="14" t="n"/>
      <c r="C152" s="14" t="n"/>
      <c r="D152" s="14" t="n"/>
      <c r="E152" s="14" t="n"/>
      <c r="F152" s="14" t="n">
        <v>0</v>
      </c>
      <c r="G152" s="19" t="n"/>
      <c r="H152" s="7">
        <f>IF(NOT(ISNUMBER($A152)),"",$B152+$C152+$D152+$E152)</f>
        <v/>
      </c>
      <c r="I152" s="7">
        <f>IF(OR(NOT(ISNUMBER($A152)),NOT(ISNUMBER($A151))),"",$H151+$F152-$H152)</f>
        <v/>
      </c>
      <c r="J152" s="14" t="n"/>
      <c r="K152" s="7">
        <f>IF(OR($I152="",$J152=""),"",$I152-$J152)</f>
        <v/>
      </c>
    </row>
    <row r="153">
      <c r="A153" s="18" t="n"/>
      <c r="B153" s="14" t="n"/>
      <c r="C153" s="14" t="n"/>
      <c r="D153" s="14" t="n"/>
      <c r="E153" s="14" t="n"/>
      <c r="F153" s="14" t="n">
        <v>0</v>
      </c>
      <c r="G153" s="19" t="n"/>
      <c r="H153" s="7">
        <f>IF(NOT(ISNUMBER($A153)),"",$B153+$C153+$D153+$E153)</f>
        <v/>
      </c>
      <c r="I153" s="7">
        <f>IF(OR(NOT(ISNUMBER($A153)),NOT(ISNUMBER($A152))),"",$H152+$F153-$H153)</f>
        <v/>
      </c>
      <c r="J153" s="14" t="n"/>
      <c r="K153" s="7">
        <f>IF(OR($I153="",$J153=""),"",$I153-$J153)</f>
        <v/>
      </c>
    </row>
    <row r="154">
      <c r="A154" s="18" t="n"/>
      <c r="B154" s="14" t="n"/>
      <c r="C154" s="14" t="n"/>
      <c r="D154" s="14" t="n"/>
      <c r="E154" s="14" t="n"/>
      <c r="F154" s="14" t="n">
        <v>0</v>
      </c>
      <c r="G154" s="19" t="n"/>
      <c r="H154" s="7">
        <f>IF(NOT(ISNUMBER($A154)),"",$B154+$C154+$D154+$E154)</f>
        <v/>
      </c>
      <c r="I154" s="7">
        <f>IF(OR(NOT(ISNUMBER($A154)),NOT(ISNUMBER($A153))),"",$H153+$F154-$H154)</f>
        <v/>
      </c>
      <c r="J154" s="14" t="n"/>
      <c r="K154" s="7">
        <f>IF(OR($I154="",$J154=""),"",$I154-$J154)</f>
        <v/>
      </c>
    </row>
    <row r="155">
      <c r="A155" s="18" t="n"/>
      <c r="B155" s="14" t="n"/>
      <c r="C155" s="14" t="n"/>
      <c r="D155" s="14" t="n"/>
      <c r="E155" s="14" t="n"/>
      <c r="F155" s="14" t="n">
        <v>0</v>
      </c>
      <c r="G155" s="19" t="n"/>
      <c r="H155" s="7">
        <f>IF(NOT(ISNUMBER($A155)),"",$B155+$C155+$D155+$E155)</f>
        <v/>
      </c>
      <c r="I155" s="7">
        <f>IF(OR(NOT(ISNUMBER($A155)),NOT(ISNUMBER($A154))),"",$H154+$F155-$H155)</f>
        <v/>
      </c>
      <c r="J155" s="14" t="n"/>
      <c r="K155" s="7">
        <f>IF(OR($I155="",$J155=""),"",$I155-$J155)</f>
        <v/>
      </c>
    </row>
    <row r="156">
      <c r="A156" s="18" t="n"/>
      <c r="B156" s="14" t="n"/>
      <c r="C156" s="14" t="n"/>
      <c r="D156" s="14" t="n"/>
      <c r="E156" s="14" t="n"/>
      <c r="F156" s="14" t="n">
        <v>0</v>
      </c>
      <c r="G156" s="19" t="n"/>
      <c r="H156" s="7">
        <f>IF(NOT(ISNUMBER($A156)),"",$B156+$C156+$D156+$E156)</f>
        <v/>
      </c>
      <c r="I156" s="7">
        <f>IF(OR(NOT(ISNUMBER($A156)),NOT(ISNUMBER($A155))),"",$H155+$F156-$H156)</f>
        <v/>
      </c>
      <c r="J156" s="14" t="n"/>
      <c r="K156" s="7">
        <f>IF(OR($I156="",$J156=""),"",$I156-$J156)</f>
        <v/>
      </c>
    </row>
    <row r="157">
      <c r="A157" s="18" t="n"/>
      <c r="B157" s="14" t="n"/>
      <c r="C157" s="14" t="n"/>
      <c r="D157" s="14" t="n"/>
      <c r="E157" s="14" t="n"/>
      <c r="F157" s="14" t="n">
        <v>0</v>
      </c>
      <c r="G157" s="19" t="n"/>
      <c r="H157" s="7">
        <f>IF(NOT(ISNUMBER($A157)),"",$B157+$C157+$D157+$E157)</f>
        <v/>
      </c>
      <c r="I157" s="7">
        <f>IF(OR(NOT(ISNUMBER($A157)),NOT(ISNUMBER($A156))),"",$H156+$F157-$H157)</f>
        <v/>
      </c>
      <c r="J157" s="14" t="n"/>
      <c r="K157" s="7">
        <f>IF(OR($I157="",$J157=""),"",$I157-$J157)</f>
        <v/>
      </c>
    </row>
    <row r="158">
      <c r="A158" s="18" t="n"/>
      <c r="B158" s="14" t="n"/>
      <c r="C158" s="14" t="n"/>
      <c r="D158" s="14" t="n"/>
      <c r="E158" s="14" t="n"/>
      <c r="F158" s="14" t="n">
        <v>0</v>
      </c>
      <c r="G158" s="19" t="n"/>
      <c r="H158" s="7">
        <f>IF(NOT(ISNUMBER($A158)),"",$B158+$C158+$D158+$E158)</f>
        <v/>
      </c>
      <c r="I158" s="7">
        <f>IF(OR(NOT(ISNUMBER($A158)),NOT(ISNUMBER($A157))),"",$H157+$F158-$H158)</f>
        <v/>
      </c>
      <c r="J158" s="14" t="n"/>
      <c r="K158" s="7">
        <f>IF(OR($I158="",$J158=""),"",$I158-$J158)</f>
        <v/>
      </c>
    </row>
    <row r="159">
      <c r="A159" s="18" t="n"/>
      <c r="B159" s="14" t="n"/>
      <c r="C159" s="14" t="n"/>
      <c r="D159" s="14" t="n"/>
      <c r="E159" s="14" t="n"/>
      <c r="F159" s="14" t="n">
        <v>0</v>
      </c>
      <c r="G159" s="19" t="n"/>
      <c r="H159" s="7">
        <f>IF(NOT(ISNUMBER($A159)),"",$B159+$C159+$D159+$E159)</f>
        <v/>
      </c>
      <c r="I159" s="7">
        <f>IF(OR(NOT(ISNUMBER($A159)),NOT(ISNUMBER($A158))),"",$H158+$F159-$H159)</f>
        <v/>
      </c>
      <c r="J159" s="14" t="n"/>
      <c r="K159" s="7">
        <f>IF(OR($I159="",$J159=""),"",$I159-$J159)</f>
        <v/>
      </c>
    </row>
    <row r="160">
      <c r="A160" s="18" t="n"/>
      <c r="B160" s="14" t="n"/>
      <c r="C160" s="14" t="n"/>
      <c r="D160" s="14" t="n"/>
      <c r="E160" s="14" t="n"/>
      <c r="F160" s="14" t="n">
        <v>0</v>
      </c>
      <c r="G160" s="19" t="n"/>
      <c r="H160" s="7">
        <f>IF(NOT(ISNUMBER($A160)),"",$B160+$C160+$D160+$E160)</f>
        <v/>
      </c>
      <c r="I160" s="7">
        <f>IF(OR(NOT(ISNUMBER($A160)),NOT(ISNUMBER($A159))),"",$H159+$F160-$H160)</f>
        <v/>
      </c>
      <c r="J160" s="14" t="n"/>
      <c r="K160" s="7">
        <f>IF(OR($I160="",$J160=""),"",$I160-$J160)</f>
        <v/>
      </c>
    </row>
    <row r="161">
      <c r="A161" s="18" t="n"/>
      <c r="B161" s="14" t="n"/>
      <c r="C161" s="14" t="n"/>
      <c r="D161" s="14" t="n"/>
      <c r="E161" s="14" t="n"/>
      <c r="F161" s="14" t="n">
        <v>0</v>
      </c>
      <c r="G161" s="19" t="n"/>
      <c r="H161" s="7">
        <f>IF(NOT(ISNUMBER($A161)),"",$B161+$C161+$D161+$E161)</f>
        <v/>
      </c>
      <c r="I161" s="7">
        <f>IF(OR(NOT(ISNUMBER($A161)),NOT(ISNUMBER($A160))),"",$H160+$F161-$H161)</f>
        <v/>
      </c>
      <c r="J161" s="14" t="n"/>
      <c r="K161" s="7">
        <f>IF(OR($I161="",$J161=""),"",$I161-$J161)</f>
        <v/>
      </c>
    </row>
    <row r="162">
      <c r="A162" s="18" t="n"/>
      <c r="B162" s="14" t="n"/>
      <c r="C162" s="14" t="n"/>
      <c r="D162" s="14" t="n"/>
      <c r="E162" s="14" t="n"/>
      <c r="F162" s="14" t="n">
        <v>0</v>
      </c>
      <c r="G162" s="19" t="n"/>
      <c r="H162" s="7">
        <f>IF(NOT(ISNUMBER($A162)),"",$B162+$C162+$D162+$E162)</f>
        <v/>
      </c>
      <c r="I162" s="7">
        <f>IF(OR(NOT(ISNUMBER($A162)),NOT(ISNUMBER($A161))),"",$H161+$F162-$H162)</f>
        <v/>
      </c>
      <c r="J162" s="14" t="n"/>
      <c r="K162" s="7">
        <f>IF(OR($I162="",$J162=""),"",$I162-$J162)</f>
        <v/>
      </c>
    </row>
    <row r="163">
      <c r="A163" s="18" t="n"/>
      <c r="B163" s="14" t="n"/>
      <c r="C163" s="14" t="n"/>
      <c r="D163" s="14" t="n"/>
      <c r="E163" s="14" t="n"/>
      <c r="F163" s="14" t="n">
        <v>0</v>
      </c>
      <c r="G163" s="19" t="n"/>
      <c r="H163" s="7">
        <f>IF(NOT(ISNUMBER($A163)),"",$B163+$C163+$D163+$E163)</f>
        <v/>
      </c>
      <c r="I163" s="7">
        <f>IF(OR(NOT(ISNUMBER($A163)),NOT(ISNUMBER($A162))),"",$H162+$F163-$H163)</f>
        <v/>
      </c>
      <c r="J163" s="14" t="n"/>
      <c r="K163" s="7">
        <f>IF(OR($I163="",$J163=""),"",$I163-$J163)</f>
        <v/>
      </c>
    </row>
    <row r="164">
      <c r="A164" s="18" t="n"/>
      <c r="B164" s="14" t="n"/>
      <c r="C164" s="14" t="n"/>
      <c r="D164" s="14" t="n"/>
      <c r="E164" s="14" t="n"/>
      <c r="F164" s="14" t="n">
        <v>0</v>
      </c>
      <c r="G164" s="19" t="n"/>
      <c r="H164" s="7">
        <f>IF(NOT(ISNUMBER($A164)),"",$B164+$C164+$D164+$E164)</f>
        <v/>
      </c>
      <c r="I164" s="7">
        <f>IF(OR(NOT(ISNUMBER($A164)),NOT(ISNUMBER($A163))),"",$H163+$F164-$H164)</f>
        <v/>
      </c>
      <c r="J164" s="14" t="n"/>
      <c r="K164" s="7">
        <f>IF(OR($I164="",$J164=""),"",$I164-$J164)</f>
        <v/>
      </c>
    </row>
    <row r="165">
      <c r="A165" s="18" t="n"/>
      <c r="B165" s="14" t="n"/>
      <c r="C165" s="14" t="n"/>
      <c r="D165" s="14" t="n"/>
      <c r="E165" s="14" t="n"/>
      <c r="F165" s="14" t="n">
        <v>0</v>
      </c>
      <c r="G165" s="19" t="n"/>
      <c r="H165" s="7">
        <f>IF(NOT(ISNUMBER($A165)),"",$B165+$C165+$D165+$E165)</f>
        <v/>
      </c>
      <c r="I165" s="7">
        <f>IF(OR(NOT(ISNUMBER($A165)),NOT(ISNUMBER($A164))),"",$H164+$F165-$H165)</f>
        <v/>
      </c>
      <c r="J165" s="14" t="n"/>
      <c r="K165" s="7">
        <f>IF(OR($I165="",$J165=""),"",$I165-$J165)</f>
        <v/>
      </c>
    </row>
    <row r="166">
      <c r="A166" s="18" t="n"/>
      <c r="B166" s="14" t="n"/>
      <c r="C166" s="14" t="n"/>
      <c r="D166" s="14" t="n"/>
      <c r="E166" s="14" t="n"/>
      <c r="F166" s="14" t="n">
        <v>0</v>
      </c>
      <c r="G166" s="19" t="n"/>
      <c r="H166" s="7">
        <f>IF(NOT(ISNUMBER($A166)),"",$B166+$C166+$D166+$E166)</f>
        <v/>
      </c>
      <c r="I166" s="7">
        <f>IF(OR(NOT(ISNUMBER($A166)),NOT(ISNUMBER($A165))),"",$H165+$F166-$H166)</f>
        <v/>
      </c>
      <c r="J166" s="14" t="n"/>
      <c r="K166" s="7">
        <f>IF(OR($I166="",$J166=""),"",$I166-$J166)</f>
        <v/>
      </c>
    </row>
    <row r="167">
      <c r="A167" s="18" t="n"/>
      <c r="B167" s="14" t="n"/>
      <c r="C167" s="14" t="n"/>
      <c r="D167" s="14" t="n"/>
      <c r="E167" s="14" t="n"/>
      <c r="F167" s="14" t="n">
        <v>0</v>
      </c>
      <c r="G167" s="19" t="n"/>
      <c r="H167" s="7">
        <f>IF(NOT(ISNUMBER($A167)),"",$B167+$C167+$D167+$E167)</f>
        <v/>
      </c>
      <c r="I167" s="7">
        <f>IF(OR(NOT(ISNUMBER($A167)),NOT(ISNUMBER($A166))),"",$H166+$F167-$H167)</f>
        <v/>
      </c>
      <c r="J167" s="14" t="n"/>
      <c r="K167" s="7">
        <f>IF(OR($I167="",$J167=""),"",$I167-$J167)</f>
        <v/>
      </c>
    </row>
    <row r="168">
      <c r="A168" s="18" t="n"/>
      <c r="B168" s="14" t="n"/>
      <c r="C168" s="14" t="n"/>
      <c r="D168" s="14" t="n"/>
      <c r="E168" s="14" t="n"/>
      <c r="F168" s="14" t="n">
        <v>0</v>
      </c>
      <c r="G168" s="19" t="n"/>
      <c r="H168" s="7">
        <f>IF(NOT(ISNUMBER($A168)),"",$B168+$C168+$D168+$E168)</f>
        <v/>
      </c>
      <c r="I168" s="7">
        <f>IF(OR(NOT(ISNUMBER($A168)),NOT(ISNUMBER($A167))),"",$H167+$F168-$H168)</f>
        <v/>
      </c>
      <c r="J168" s="14" t="n"/>
      <c r="K168" s="7">
        <f>IF(OR($I168="",$J168=""),"",$I168-$J168)</f>
        <v/>
      </c>
    </row>
    <row r="169">
      <c r="A169" s="18" t="n"/>
      <c r="B169" s="14" t="n"/>
      <c r="C169" s="14" t="n"/>
      <c r="D169" s="14" t="n"/>
      <c r="E169" s="14" t="n"/>
      <c r="F169" s="14" t="n">
        <v>0</v>
      </c>
      <c r="G169" s="19" t="n"/>
      <c r="H169" s="7">
        <f>IF(NOT(ISNUMBER($A169)),"",$B169+$C169+$D169+$E169)</f>
        <v/>
      </c>
      <c r="I169" s="7">
        <f>IF(OR(NOT(ISNUMBER($A169)),NOT(ISNUMBER($A168))),"",$H168+$F169-$H169)</f>
        <v/>
      </c>
      <c r="J169" s="14" t="n"/>
      <c r="K169" s="7">
        <f>IF(OR($I169="",$J169=""),"",$I169-$J169)</f>
        <v/>
      </c>
    </row>
    <row r="170">
      <c r="A170" s="18" t="n"/>
      <c r="B170" s="14" t="n"/>
      <c r="C170" s="14" t="n"/>
      <c r="D170" s="14" t="n"/>
      <c r="E170" s="14" t="n"/>
      <c r="F170" s="14" t="n">
        <v>0</v>
      </c>
      <c r="G170" s="19" t="n"/>
      <c r="H170" s="7">
        <f>IF(NOT(ISNUMBER($A170)),"",$B170+$C170+$D170+$E170)</f>
        <v/>
      </c>
      <c r="I170" s="7">
        <f>IF(OR(NOT(ISNUMBER($A170)),NOT(ISNUMBER($A169))),"",$H169+$F170-$H170)</f>
        <v/>
      </c>
      <c r="J170" s="14" t="n"/>
      <c r="K170" s="7">
        <f>IF(OR($I170="",$J170=""),"",$I170-$J170)</f>
        <v/>
      </c>
    </row>
    <row r="171">
      <c r="A171" s="18" t="n"/>
      <c r="B171" s="14" t="n"/>
      <c r="C171" s="14" t="n"/>
      <c r="D171" s="14" t="n"/>
      <c r="E171" s="14" t="n"/>
      <c r="F171" s="14" t="n">
        <v>0</v>
      </c>
      <c r="G171" s="19" t="n"/>
      <c r="H171" s="7">
        <f>IF(NOT(ISNUMBER($A171)),"",$B171+$C171+$D171+$E171)</f>
        <v/>
      </c>
      <c r="I171" s="7">
        <f>IF(OR(NOT(ISNUMBER($A171)),NOT(ISNUMBER($A170))),"",$H170+$F171-$H171)</f>
        <v/>
      </c>
      <c r="J171" s="14" t="n"/>
      <c r="K171" s="7">
        <f>IF(OR($I171="",$J171=""),"",$I171-$J171)</f>
        <v/>
      </c>
    </row>
    <row r="172">
      <c r="A172" s="18" t="n"/>
      <c r="B172" s="14" t="n"/>
      <c r="C172" s="14" t="n"/>
      <c r="D172" s="14" t="n"/>
      <c r="E172" s="14" t="n"/>
      <c r="F172" s="14" t="n">
        <v>0</v>
      </c>
      <c r="G172" s="19" t="n"/>
      <c r="H172" s="7">
        <f>IF(NOT(ISNUMBER($A172)),"",$B172+$C172+$D172+$E172)</f>
        <v/>
      </c>
      <c r="I172" s="7">
        <f>IF(OR(NOT(ISNUMBER($A172)),NOT(ISNUMBER($A171))),"",$H171+$F172-$H172)</f>
        <v/>
      </c>
      <c r="J172" s="14" t="n"/>
      <c r="K172" s="7">
        <f>IF(OR($I172="",$J172=""),"",$I172-$J172)</f>
        <v/>
      </c>
    </row>
    <row r="173">
      <c r="A173" s="18" t="n"/>
      <c r="B173" s="14" t="n"/>
      <c r="C173" s="14" t="n"/>
      <c r="D173" s="14" t="n"/>
      <c r="E173" s="14" t="n"/>
      <c r="F173" s="14" t="n">
        <v>0</v>
      </c>
      <c r="G173" s="19" t="n"/>
      <c r="H173" s="7">
        <f>IF(NOT(ISNUMBER($A173)),"",$B173+$C173+$D173+$E173)</f>
        <v/>
      </c>
      <c r="I173" s="7">
        <f>IF(OR(NOT(ISNUMBER($A173)),NOT(ISNUMBER($A172))),"",$H172+$F173-$H173)</f>
        <v/>
      </c>
      <c r="J173" s="14" t="n"/>
      <c r="K173" s="7">
        <f>IF(OR($I173="",$J173=""),"",$I173-$J173)</f>
        <v/>
      </c>
    </row>
    <row r="174">
      <c r="A174" s="18" t="n"/>
      <c r="B174" s="14" t="n"/>
      <c r="C174" s="14" t="n"/>
      <c r="D174" s="14" t="n"/>
      <c r="E174" s="14" t="n"/>
      <c r="F174" s="14" t="n">
        <v>0</v>
      </c>
      <c r="G174" s="19" t="n"/>
      <c r="H174" s="7">
        <f>IF(NOT(ISNUMBER($A174)),"",$B174+$C174+$D174+$E174)</f>
        <v/>
      </c>
      <c r="I174" s="7">
        <f>IF(OR(NOT(ISNUMBER($A174)),NOT(ISNUMBER($A173))),"",$H173+$F174-$H174)</f>
        <v/>
      </c>
      <c r="J174" s="14" t="n"/>
      <c r="K174" s="7">
        <f>IF(OR($I174="",$J174=""),"",$I174-$J174)</f>
        <v/>
      </c>
    </row>
    <row r="175">
      <c r="A175" s="18" t="n"/>
      <c r="B175" s="14" t="n"/>
      <c r="C175" s="14" t="n"/>
      <c r="D175" s="14" t="n"/>
      <c r="E175" s="14" t="n"/>
      <c r="F175" s="14" t="n">
        <v>0</v>
      </c>
      <c r="G175" s="19" t="n"/>
      <c r="H175" s="7">
        <f>IF(NOT(ISNUMBER($A175)),"",$B175+$C175+$D175+$E175)</f>
        <v/>
      </c>
      <c r="I175" s="7">
        <f>IF(OR(NOT(ISNUMBER($A175)),NOT(ISNUMBER($A174))),"",$H174+$F175-$H175)</f>
        <v/>
      </c>
      <c r="J175" s="14" t="n"/>
      <c r="K175" s="7">
        <f>IF(OR($I175="",$J175=""),"",$I175-$J175)</f>
        <v/>
      </c>
    </row>
    <row r="176">
      <c r="A176" s="18" t="n"/>
      <c r="B176" s="14" t="n"/>
      <c r="C176" s="14" t="n"/>
      <c r="D176" s="14" t="n"/>
      <c r="E176" s="14" t="n"/>
      <c r="F176" s="14" t="n">
        <v>0</v>
      </c>
      <c r="G176" s="19" t="n"/>
      <c r="H176" s="7">
        <f>IF(NOT(ISNUMBER($A176)),"",$B176+$C176+$D176+$E176)</f>
        <v/>
      </c>
      <c r="I176" s="7">
        <f>IF(OR(NOT(ISNUMBER($A176)),NOT(ISNUMBER($A175))),"",$H175+$F176-$H176)</f>
        <v/>
      </c>
      <c r="J176" s="14" t="n"/>
      <c r="K176" s="7">
        <f>IF(OR($I176="",$J176=""),"",$I176-$J176)</f>
        <v/>
      </c>
    </row>
    <row r="177">
      <c r="A177" s="18" t="n"/>
      <c r="B177" s="14" t="n"/>
      <c r="C177" s="14" t="n"/>
      <c r="D177" s="14" t="n"/>
      <c r="E177" s="14" t="n"/>
      <c r="F177" s="14" t="n">
        <v>0</v>
      </c>
      <c r="G177" s="19" t="n"/>
      <c r="H177" s="7">
        <f>IF(NOT(ISNUMBER($A177)),"",$B177+$C177+$D177+$E177)</f>
        <v/>
      </c>
      <c r="I177" s="7">
        <f>IF(OR(NOT(ISNUMBER($A177)),NOT(ISNUMBER($A176))),"",$H176+$F177-$H177)</f>
        <v/>
      </c>
      <c r="J177" s="14" t="n"/>
      <c r="K177" s="7">
        <f>IF(OR($I177="",$J177=""),"",$I177-$J177)</f>
        <v/>
      </c>
    </row>
    <row r="178">
      <c r="A178" s="18" t="n"/>
      <c r="B178" s="14" t="n"/>
      <c r="C178" s="14" t="n"/>
      <c r="D178" s="14" t="n"/>
      <c r="E178" s="14" t="n"/>
      <c r="F178" s="14" t="n">
        <v>0</v>
      </c>
      <c r="G178" s="19" t="n"/>
      <c r="H178" s="7">
        <f>IF(NOT(ISNUMBER($A178)),"",$B178+$C178+$D178+$E178)</f>
        <v/>
      </c>
      <c r="I178" s="7">
        <f>IF(OR(NOT(ISNUMBER($A178)),NOT(ISNUMBER($A177))),"",$H177+$F178-$H178)</f>
        <v/>
      </c>
      <c r="J178" s="14" t="n"/>
      <c r="K178" s="7">
        <f>IF(OR($I178="",$J178=""),"",$I178-$J178)</f>
        <v/>
      </c>
    </row>
    <row r="179">
      <c r="A179" s="18" t="n"/>
      <c r="B179" s="14" t="n"/>
      <c r="C179" s="14" t="n"/>
      <c r="D179" s="14" t="n"/>
      <c r="E179" s="14" t="n"/>
      <c r="F179" s="14" t="n">
        <v>0</v>
      </c>
      <c r="G179" s="19" t="n"/>
      <c r="H179" s="7">
        <f>IF(NOT(ISNUMBER($A179)),"",$B179+$C179+$D179+$E179)</f>
        <v/>
      </c>
      <c r="I179" s="7">
        <f>IF(OR(NOT(ISNUMBER($A179)),NOT(ISNUMBER($A178))),"",$H178+$F179-$H179)</f>
        <v/>
      </c>
      <c r="J179" s="14" t="n"/>
      <c r="K179" s="7">
        <f>IF(OR($I179="",$J179=""),"",$I179-$J179)</f>
        <v/>
      </c>
    </row>
    <row r="180">
      <c r="A180" s="18" t="n"/>
      <c r="B180" s="14" t="n"/>
      <c r="C180" s="14" t="n"/>
      <c r="D180" s="14" t="n"/>
      <c r="E180" s="14" t="n"/>
      <c r="F180" s="14" t="n">
        <v>0</v>
      </c>
      <c r="G180" s="19" t="n"/>
      <c r="H180" s="7">
        <f>IF(NOT(ISNUMBER($A180)),"",$B180+$C180+$D180+$E180)</f>
        <v/>
      </c>
      <c r="I180" s="7">
        <f>IF(OR(NOT(ISNUMBER($A180)),NOT(ISNUMBER($A179))),"",$H179+$F180-$H180)</f>
        <v/>
      </c>
      <c r="J180" s="14" t="n"/>
      <c r="K180" s="7">
        <f>IF(OR($I180="",$J180=""),"",$I180-$J180)</f>
        <v/>
      </c>
    </row>
    <row r="181">
      <c r="A181" s="18" t="n"/>
      <c r="B181" s="14" t="n"/>
      <c r="C181" s="14" t="n"/>
      <c r="D181" s="14" t="n"/>
      <c r="E181" s="14" t="n"/>
      <c r="F181" s="14" t="n">
        <v>0</v>
      </c>
      <c r="G181" s="19" t="n"/>
      <c r="H181" s="7">
        <f>IF(NOT(ISNUMBER($A181)),"",$B181+$C181+$D181+$E181)</f>
        <v/>
      </c>
      <c r="I181" s="7">
        <f>IF(OR(NOT(ISNUMBER($A181)),NOT(ISNUMBER($A180))),"",$H180+$F181-$H181)</f>
        <v/>
      </c>
      <c r="J181" s="14" t="n"/>
      <c r="K181" s="7">
        <f>IF(OR($I181="",$J181=""),"",$I181-$J181)</f>
        <v/>
      </c>
    </row>
    <row r="182">
      <c r="A182" s="18" t="n"/>
      <c r="B182" s="14" t="n"/>
      <c r="C182" s="14" t="n"/>
      <c r="D182" s="14" t="n"/>
      <c r="E182" s="14" t="n"/>
      <c r="F182" s="14" t="n">
        <v>0</v>
      </c>
      <c r="G182" s="19" t="n"/>
      <c r="H182" s="7">
        <f>IF(NOT(ISNUMBER($A182)),"",$B182+$C182+$D182+$E182)</f>
        <v/>
      </c>
      <c r="I182" s="7">
        <f>IF(OR(NOT(ISNUMBER($A182)),NOT(ISNUMBER($A181))),"",$H181+$F182-$H182)</f>
        <v/>
      </c>
      <c r="J182" s="14" t="n"/>
      <c r="K182" s="7">
        <f>IF(OR($I182="",$J182=""),"",$I182-$J182)</f>
        <v/>
      </c>
    </row>
    <row r="183">
      <c r="A183" s="18" t="n"/>
      <c r="B183" s="14" t="n"/>
      <c r="C183" s="14" t="n"/>
      <c r="D183" s="14" t="n"/>
      <c r="E183" s="14" t="n"/>
      <c r="F183" s="14" t="n">
        <v>0</v>
      </c>
      <c r="G183" s="19" t="n"/>
      <c r="H183" s="7">
        <f>IF(NOT(ISNUMBER($A183)),"",$B183+$C183+$D183+$E183)</f>
        <v/>
      </c>
      <c r="I183" s="7">
        <f>IF(OR(NOT(ISNUMBER($A183)),NOT(ISNUMBER($A182))),"",$H182+$F183-$H183)</f>
        <v/>
      </c>
      <c r="J183" s="14" t="n"/>
      <c r="K183" s="7">
        <f>IF(OR($I183="",$J183=""),"",$I183-$J183)</f>
        <v/>
      </c>
    </row>
    <row r="184">
      <c r="A184" s="18" t="n"/>
      <c r="B184" s="14" t="n"/>
      <c r="C184" s="14" t="n"/>
      <c r="D184" s="14" t="n"/>
      <c r="E184" s="14" t="n"/>
      <c r="F184" s="14" t="n">
        <v>0</v>
      </c>
      <c r="G184" s="19" t="n"/>
      <c r="H184" s="7">
        <f>IF(NOT(ISNUMBER($A184)),"",$B184+$C184+$D184+$E184)</f>
        <v/>
      </c>
      <c r="I184" s="7">
        <f>IF(OR(NOT(ISNUMBER($A184)),NOT(ISNUMBER($A183))),"",$H183+$F184-$H184)</f>
        <v/>
      </c>
      <c r="J184" s="14" t="n"/>
      <c r="K184" s="7">
        <f>IF(OR($I184="",$J184=""),"",$I184-$J184)</f>
        <v/>
      </c>
    </row>
    <row r="185">
      <c r="A185" s="18" t="n"/>
      <c r="B185" s="14" t="n"/>
      <c r="C185" s="14" t="n"/>
      <c r="D185" s="14" t="n"/>
      <c r="E185" s="14" t="n"/>
      <c r="F185" s="14" t="n">
        <v>0</v>
      </c>
      <c r="G185" s="19" t="n"/>
      <c r="H185" s="7">
        <f>IF(NOT(ISNUMBER($A185)),"",$B185+$C185+$D185+$E185)</f>
        <v/>
      </c>
      <c r="I185" s="7">
        <f>IF(OR(NOT(ISNUMBER($A185)),NOT(ISNUMBER($A184))),"",$H184+$F185-$H185)</f>
        <v/>
      </c>
      <c r="J185" s="14" t="n"/>
      <c r="K185" s="7">
        <f>IF(OR($I185="",$J185=""),"",$I185-$J185)</f>
        <v/>
      </c>
    </row>
    <row r="186">
      <c r="A186" s="18" t="n"/>
      <c r="B186" s="14" t="n"/>
      <c r="C186" s="14" t="n"/>
      <c r="D186" s="14" t="n"/>
      <c r="E186" s="14" t="n"/>
      <c r="F186" s="14" t="n">
        <v>0</v>
      </c>
      <c r="G186" s="19" t="n"/>
      <c r="H186" s="7">
        <f>IF(NOT(ISNUMBER($A186)),"",$B186+$C186+$D186+$E186)</f>
        <v/>
      </c>
      <c r="I186" s="7">
        <f>IF(OR(NOT(ISNUMBER($A186)),NOT(ISNUMBER($A185))),"",$H185+$F186-$H186)</f>
        <v/>
      </c>
      <c r="J186" s="14" t="n"/>
      <c r="K186" s="7">
        <f>IF(OR($I186="",$J186=""),"",$I186-$J186)</f>
        <v/>
      </c>
    </row>
    <row r="187">
      <c r="A187" s="18" t="n"/>
      <c r="B187" s="14" t="n"/>
      <c r="C187" s="14" t="n"/>
      <c r="D187" s="14" t="n"/>
      <c r="E187" s="14" t="n"/>
      <c r="F187" s="14" t="n">
        <v>0</v>
      </c>
      <c r="G187" s="19" t="n"/>
      <c r="H187" s="7">
        <f>IF(NOT(ISNUMBER($A187)),"",$B187+$C187+$D187+$E187)</f>
        <v/>
      </c>
      <c r="I187" s="7">
        <f>IF(OR(NOT(ISNUMBER($A187)),NOT(ISNUMBER($A186))),"",$H186+$F187-$H187)</f>
        <v/>
      </c>
      <c r="J187" s="14" t="n"/>
      <c r="K187" s="7">
        <f>IF(OR($I187="",$J187=""),"",$I187-$J187)</f>
        <v/>
      </c>
    </row>
    <row r="188">
      <c r="A188" s="18" t="n"/>
      <c r="B188" s="14" t="n"/>
      <c r="C188" s="14" t="n"/>
      <c r="D188" s="14" t="n"/>
      <c r="E188" s="14" t="n"/>
      <c r="F188" s="14" t="n">
        <v>0</v>
      </c>
      <c r="G188" s="19" t="n"/>
      <c r="H188" s="7">
        <f>IF(NOT(ISNUMBER($A188)),"",$B188+$C188+$D188+$E188)</f>
        <v/>
      </c>
      <c r="I188" s="7">
        <f>IF(OR(NOT(ISNUMBER($A188)),NOT(ISNUMBER($A187))),"",$H187+$F188-$H188)</f>
        <v/>
      </c>
      <c r="J188" s="14" t="n"/>
      <c r="K188" s="7">
        <f>IF(OR($I188="",$J188=""),"",$I188-$J188)</f>
        <v/>
      </c>
    </row>
    <row r="189">
      <c r="A189" s="18" t="n"/>
      <c r="B189" s="14" t="n"/>
      <c r="C189" s="14" t="n"/>
      <c r="D189" s="14" t="n"/>
      <c r="E189" s="14" t="n"/>
      <c r="F189" s="14" t="n">
        <v>0</v>
      </c>
      <c r="G189" s="19" t="n"/>
      <c r="H189" s="7">
        <f>IF(NOT(ISNUMBER($A189)),"",$B189+$C189+$D189+$E189)</f>
        <v/>
      </c>
      <c r="I189" s="7">
        <f>IF(OR(NOT(ISNUMBER($A189)),NOT(ISNUMBER($A188))),"",$H188+$F189-$H189)</f>
        <v/>
      </c>
      <c r="J189" s="14" t="n"/>
      <c r="K189" s="7">
        <f>IF(OR($I189="",$J189=""),"",$I189-$J189)</f>
        <v/>
      </c>
    </row>
    <row r="190">
      <c r="A190" s="18" t="n"/>
      <c r="B190" s="14" t="n"/>
      <c r="C190" s="14" t="n"/>
      <c r="D190" s="14" t="n"/>
      <c r="E190" s="14" t="n"/>
      <c r="F190" s="14" t="n">
        <v>0</v>
      </c>
      <c r="G190" s="19" t="n"/>
      <c r="H190" s="7">
        <f>IF(NOT(ISNUMBER($A190)),"",$B190+$C190+$D190+$E190)</f>
        <v/>
      </c>
      <c r="I190" s="7">
        <f>IF(OR(NOT(ISNUMBER($A190)),NOT(ISNUMBER($A189))),"",$H189+$F190-$H190)</f>
        <v/>
      </c>
      <c r="J190" s="14" t="n"/>
      <c r="K190" s="7">
        <f>IF(OR($I190="",$J190=""),"",$I190-$J190)</f>
        <v/>
      </c>
    </row>
    <row r="191">
      <c r="A191" s="18" t="n"/>
      <c r="B191" s="14" t="n"/>
      <c r="C191" s="14" t="n"/>
      <c r="D191" s="14" t="n"/>
      <c r="E191" s="14" t="n"/>
      <c r="F191" s="14" t="n">
        <v>0</v>
      </c>
      <c r="G191" s="19" t="n"/>
      <c r="H191" s="7">
        <f>IF(NOT(ISNUMBER($A191)),"",$B191+$C191+$D191+$E191)</f>
        <v/>
      </c>
      <c r="I191" s="7">
        <f>IF(OR(NOT(ISNUMBER($A191)),NOT(ISNUMBER($A190))),"",$H190+$F191-$H191)</f>
        <v/>
      </c>
      <c r="J191" s="14" t="n"/>
      <c r="K191" s="7">
        <f>IF(OR($I191="",$J191=""),"",$I191-$J191)</f>
        <v/>
      </c>
    </row>
    <row r="192">
      <c r="A192" s="18" t="n"/>
      <c r="B192" s="14" t="n"/>
      <c r="C192" s="14" t="n"/>
      <c r="D192" s="14" t="n"/>
      <c r="E192" s="14" t="n"/>
      <c r="F192" s="14" t="n">
        <v>0</v>
      </c>
      <c r="G192" s="19" t="n"/>
      <c r="H192" s="7">
        <f>IF(NOT(ISNUMBER($A192)),"",$B192+$C192+$D192+$E192)</f>
        <v/>
      </c>
      <c r="I192" s="7">
        <f>IF(OR(NOT(ISNUMBER($A192)),NOT(ISNUMBER($A191))),"",$H191+$F192-$H192)</f>
        <v/>
      </c>
      <c r="J192" s="14" t="n"/>
      <c r="K192" s="7">
        <f>IF(OR($I192="",$J192=""),"",$I192-$J192)</f>
        <v/>
      </c>
    </row>
    <row r="193">
      <c r="A193" s="18" t="n"/>
      <c r="B193" s="14" t="n"/>
      <c r="C193" s="14" t="n"/>
      <c r="D193" s="14" t="n"/>
      <c r="E193" s="14" t="n"/>
      <c r="F193" s="14" t="n">
        <v>0</v>
      </c>
      <c r="G193" s="19" t="n"/>
      <c r="H193" s="7">
        <f>IF(NOT(ISNUMBER($A193)),"",$B193+$C193+$D193+$E193)</f>
        <v/>
      </c>
      <c r="I193" s="7">
        <f>IF(OR(NOT(ISNUMBER($A193)),NOT(ISNUMBER($A192))),"",$H192+$F193-$H193)</f>
        <v/>
      </c>
      <c r="J193" s="14" t="n"/>
      <c r="K193" s="7">
        <f>IF(OR($I193="",$J193=""),"",$I193-$J193)</f>
        <v/>
      </c>
    </row>
    <row r="194">
      <c r="A194" s="18" t="n"/>
      <c r="B194" s="14" t="n"/>
      <c r="C194" s="14" t="n"/>
      <c r="D194" s="14" t="n"/>
      <c r="E194" s="14" t="n"/>
      <c r="F194" s="14" t="n">
        <v>0</v>
      </c>
      <c r="G194" s="19" t="n"/>
      <c r="H194" s="7">
        <f>IF(NOT(ISNUMBER($A194)),"",$B194+$C194+$D194+$E194)</f>
        <v/>
      </c>
      <c r="I194" s="7">
        <f>IF(OR(NOT(ISNUMBER($A194)),NOT(ISNUMBER($A193))),"",$H193+$F194-$H194)</f>
        <v/>
      </c>
      <c r="J194" s="14" t="n"/>
      <c r="K194" s="7">
        <f>IF(OR($I194="",$J194=""),"",$I194-$J194)</f>
        <v/>
      </c>
    </row>
    <row r="195">
      <c r="A195" s="18" t="n"/>
      <c r="B195" s="14" t="n"/>
      <c r="C195" s="14" t="n"/>
      <c r="D195" s="14" t="n"/>
      <c r="E195" s="14" t="n"/>
      <c r="F195" s="14" t="n">
        <v>0</v>
      </c>
      <c r="G195" s="19" t="n"/>
      <c r="H195" s="7">
        <f>IF(NOT(ISNUMBER($A195)),"",$B195+$C195+$D195+$E195)</f>
        <v/>
      </c>
      <c r="I195" s="7">
        <f>IF(OR(NOT(ISNUMBER($A195)),NOT(ISNUMBER($A194))),"",$H194+$F195-$H195)</f>
        <v/>
      </c>
      <c r="J195" s="14" t="n"/>
      <c r="K195" s="7">
        <f>IF(OR($I195="",$J195=""),"",$I195-$J195)</f>
        <v/>
      </c>
    </row>
    <row r="196">
      <c r="A196" s="18" t="n"/>
      <c r="B196" s="14" t="n"/>
      <c r="C196" s="14" t="n"/>
      <c r="D196" s="14" t="n"/>
      <c r="E196" s="14" t="n"/>
      <c r="F196" s="14" t="n">
        <v>0</v>
      </c>
      <c r="G196" s="19" t="n"/>
      <c r="H196" s="7">
        <f>IF(NOT(ISNUMBER($A196)),"",$B196+$C196+$D196+$E196)</f>
        <v/>
      </c>
      <c r="I196" s="7">
        <f>IF(OR(NOT(ISNUMBER($A196)),NOT(ISNUMBER($A195))),"",$H195+$F196-$H196)</f>
        <v/>
      </c>
      <c r="J196" s="14" t="n"/>
      <c r="K196" s="7">
        <f>IF(OR($I196="",$J196=""),"",$I196-$J196)</f>
        <v/>
      </c>
    </row>
    <row r="197">
      <c r="A197" s="18" t="n"/>
      <c r="B197" s="14" t="n"/>
      <c r="C197" s="14" t="n"/>
      <c r="D197" s="14" t="n"/>
      <c r="E197" s="14" t="n"/>
      <c r="F197" s="14" t="n">
        <v>0</v>
      </c>
      <c r="G197" s="19" t="n"/>
      <c r="H197" s="7">
        <f>IF(NOT(ISNUMBER($A197)),"",$B197+$C197+$D197+$E197)</f>
        <v/>
      </c>
      <c r="I197" s="7">
        <f>IF(OR(NOT(ISNUMBER($A197)),NOT(ISNUMBER($A196))),"",$H196+$F197-$H197)</f>
        <v/>
      </c>
      <c r="J197" s="14" t="n"/>
      <c r="K197" s="7">
        <f>IF(OR($I197="",$J197=""),"",$I197-$J197)</f>
        <v/>
      </c>
    </row>
    <row r="198">
      <c r="A198" s="18" t="n"/>
      <c r="B198" s="14" t="n"/>
      <c r="C198" s="14" t="n"/>
      <c r="D198" s="14" t="n"/>
      <c r="E198" s="14" t="n"/>
      <c r="F198" s="14" t="n">
        <v>0</v>
      </c>
      <c r="G198" s="19" t="n"/>
      <c r="H198" s="7">
        <f>IF(NOT(ISNUMBER($A198)),"",$B198+$C198+$D198+$E198)</f>
        <v/>
      </c>
      <c r="I198" s="7">
        <f>IF(OR(NOT(ISNUMBER($A198)),NOT(ISNUMBER($A197))),"",$H197+$F198-$H198)</f>
        <v/>
      </c>
      <c r="J198" s="14" t="n"/>
      <c r="K198" s="7">
        <f>IF(OR($I198="",$J198=""),"",$I198-$J198)</f>
        <v/>
      </c>
    </row>
    <row r="199">
      <c r="A199" s="18" t="n"/>
      <c r="B199" s="14" t="n"/>
      <c r="C199" s="14" t="n"/>
      <c r="D199" s="14" t="n"/>
      <c r="E199" s="14" t="n"/>
      <c r="F199" s="14" t="n">
        <v>0</v>
      </c>
      <c r="G199" s="19" t="n"/>
      <c r="H199" s="7">
        <f>IF(NOT(ISNUMBER($A199)),"",$B199+$C199+$D199+$E199)</f>
        <v/>
      </c>
      <c r="I199" s="7">
        <f>IF(OR(NOT(ISNUMBER($A199)),NOT(ISNUMBER($A198))),"",$H198+$F199-$H199)</f>
        <v/>
      </c>
      <c r="J199" s="14" t="n"/>
      <c r="K199" s="7">
        <f>IF(OR($I199="",$J199=""),"",$I199-$J199)</f>
        <v/>
      </c>
    </row>
    <row r="200">
      <c r="A200" s="18" t="n"/>
      <c r="B200" s="14" t="n"/>
      <c r="C200" s="14" t="n"/>
      <c r="D200" s="14" t="n"/>
      <c r="E200" s="14" t="n"/>
      <c r="F200" s="14" t="n">
        <v>0</v>
      </c>
      <c r="G200" s="19" t="n"/>
      <c r="H200" s="7">
        <f>IF(NOT(ISNUMBER($A200)),"",$B200+$C200+$D200+$E200)</f>
        <v/>
      </c>
      <c r="I200" s="7">
        <f>IF(OR(NOT(ISNUMBER($A200)),NOT(ISNUMBER($A199))),"",$H199+$F200-$H200)</f>
        <v/>
      </c>
      <c r="J200" s="14" t="n"/>
      <c r="K200" s="7">
        <f>IF(OR($I200="",$J200=""),"",$I200-$J200)</f>
        <v/>
      </c>
    </row>
    <row r="201">
      <c r="A201" s="18" t="n"/>
      <c r="B201" s="14" t="n"/>
      <c r="C201" s="14" t="n"/>
      <c r="D201" s="14" t="n"/>
      <c r="E201" s="14" t="n"/>
      <c r="F201" s="14" t="n">
        <v>0</v>
      </c>
      <c r="G201" s="19" t="n"/>
      <c r="H201" s="7">
        <f>IF(NOT(ISNUMBER($A201)),"",$B201+$C201+$D201+$E201)</f>
        <v/>
      </c>
      <c r="I201" s="7">
        <f>IF(OR(NOT(ISNUMBER($A201)),NOT(ISNUMBER($A200))),"",$H200+$F201-$H201)</f>
        <v/>
      </c>
      <c r="J201" s="14" t="n"/>
      <c r="K201" s="7">
        <f>IF(OR($I201="",$J201=""),"",$I201-$J201)</f>
        <v/>
      </c>
    </row>
    <row r="202">
      <c r="A202" s="18" t="n"/>
      <c r="B202" s="14" t="n"/>
      <c r="C202" s="14" t="n"/>
      <c r="D202" s="14" t="n"/>
      <c r="E202" s="14" t="n"/>
      <c r="F202" s="14" t="n">
        <v>0</v>
      </c>
      <c r="G202" s="19" t="n"/>
      <c r="H202" s="7">
        <f>IF(NOT(ISNUMBER($A202)),"",$B202+$C202+$D202+$E202)</f>
        <v/>
      </c>
      <c r="I202" s="7">
        <f>IF(OR(NOT(ISNUMBER($A202)),NOT(ISNUMBER($A201))),"",$H201+$F202-$H202)</f>
        <v/>
      </c>
      <c r="J202" s="14" t="n"/>
      <c r="K202" s="7">
        <f>IF(OR($I202="",$J202=""),"",$I202-$J202)</f>
        <v/>
      </c>
    </row>
    <row r="203">
      <c r="A203" s="18" t="n"/>
      <c r="B203" s="14" t="n"/>
      <c r="C203" s="14" t="n"/>
      <c r="D203" s="14" t="n"/>
      <c r="E203" s="14" t="n"/>
      <c r="F203" s="14" t="n">
        <v>0</v>
      </c>
      <c r="G203" s="19" t="n"/>
      <c r="H203" s="7">
        <f>IF(NOT(ISNUMBER($A203)),"",$B203+$C203+$D203+$E203)</f>
        <v/>
      </c>
      <c r="I203" s="7">
        <f>IF(OR(NOT(ISNUMBER($A203)),NOT(ISNUMBER($A202))),"",$H202+$F203-$H203)</f>
        <v/>
      </c>
      <c r="J203" s="14" t="n"/>
      <c r="K203" s="7">
        <f>IF(OR($I203="",$J203=""),"",$I203-$J203)</f>
        <v/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</cols>
  <sheetData>
    <row r="1">
      <c r="A1" s="1" t="inlineStr">
        <is>
          <t>Spese annuali — quello che esce dal buffer</t>
        </is>
      </c>
    </row>
    <row r="2" ht="28" customHeight="1">
      <c r="A2" s="9" t="inlineStr">
        <is>
          <t>Il buffer si riempie da solo di 150 € al mese. Qui registri solo le uscite grosse: assicurazione, caldaia, bollo, gomme, revisione, tagliando. Le righe in corsivo blu sono previsioni (non ancora accadute): correggile o cancellale quando la spesa è reale.</t>
        </is>
      </c>
    </row>
    <row r="3">
      <c r="A3" s="20" t="inlineStr">
        <is>
          <t>Data</t>
        </is>
      </c>
      <c r="B3" s="20" t="inlineStr">
        <is>
          <t>Voce</t>
        </is>
      </c>
      <c r="C3" s="20" t="inlineStr">
        <is>
          <t>Importo (€)</t>
        </is>
      </c>
    </row>
    <row r="4">
      <c r="A4" s="15" t="n">
        <v>46285</v>
      </c>
      <c r="B4" s="17" t="inlineStr">
        <is>
          <t>Revisione caldaia + controllo fumi (100 € contanti + 40 € carta)</t>
        </is>
      </c>
      <c r="C4" s="16" t="n">
        <v>140</v>
      </c>
    </row>
    <row r="5">
      <c r="A5" s="15" t="n">
        <v>46298</v>
      </c>
      <c r="B5" s="17" t="inlineStr">
        <is>
          <t>Assicurazione auto — rinnovo Prima/Triglav, pagamento unico</t>
        </is>
      </c>
      <c r="C5" s="16" t="n">
        <v>467.76</v>
      </c>
    </row>
    <row r="6">
      <c r="A6" s="15" t="n">
        <v>46300</v>
      </c>
      <c r="B6" s="17" t="inlineStr">
        <is>
          <t>Lotta Club Seggiano — quota iscrizione + primo mese, MENSILE non semestrale (corretto): dal secondo mese 25 €/mese ricorrenti, va nel budget fisso non più qui. 2 allenamenti/settimana per ora.</t>
        </is>
      </c>
      <c r="C6" s="16" t="n">
        <v>50</v>
      </c>
    </row>
    <row r="7">
      <c r="A7" s="18" t="n"/>
      <c r="B7" s="19" t="n"/>
      <c r="C7" s="14" t="n"/>
    </row>
    <row r="8">
      <c r="A8" s="18" t="n"/>
      <c r="B8" s="19" t="n"/>
      <c r="C8" s="14" t="n"/>
    </row>
    <row r="9">
      <c r="A9" s="18" t="n"/>
      <c r="B9" s="19" t="n"/>
      <c r="C9" s="14" t="n"/>
    </row>
    <row r="10">
      <c r="A10" s="18" t="n"/>
      <c r="B10" s="19" t="n"/>
      <c r="C10" s="14" t="n"/>
    </row>
    <row r="11">
      <c r="A11" s="18" t="n"/>
      <c r="B11" s="19" t="n"/>
      <c r="C11" s="14" t="n"/>
    </row>
    <row r="12">
      <c r="A12" s="18" t="n"/>
      <c r="B12" s="19" t="n"/>
      <c r="C12" s="14" t="n"/>
    </row>
    <row r="13">
      <c r="A13" s="18" t="n"/>
      <c r="B13" s="19" t="n"/>
      <c r="C13" s="14" t="n"/>
    </row>
    <row r="14">
      <c r="A14" s="18" t="n"/>
      <c r="B14" s="19" t="n"/>
      <c r="C14" s="14" t="n"/>
    </row>
    <row r="15">
      <c r="A15" s="18" t="n"/>
      <c r="B15" s="19" t="n"/>
      <c r="C15" s="14" t="n"/>
    </row>
    <row r="16">
      <c r="A16" s="18" t="n"/>
      <c r="B16" s="19" t="n"/>
      <c r="C16" s="14" t="n"/>
    </row>
    <row r="17">
      <c r="A17" s="18" t="n"/>
      <c r="B17" s="19" t="n"/>
      <c r="C17" s="14" t="n"/>
    </row>
    <row r="18">
      <c r="A18" s="18" t="n"/>
      <c r="B18" s="19" t="n"/>
      <c r="C18" s="14" t="n"/>
    </row>
    <row r="19">
      <c r="A19" s="18" t="n"/>
      <c r="B19" s="19" t="n"/>
      <c r="C19" s="14" t="n"/>
    </row>
    <row r="20">
      <c r="A20" s="18" t="n"/>
      <c r="B20" s="19" t="n"/>
      <c r="C20" s="14" t="n"/>
    </row>
    <row r="21">
      <c r="A21" s="18" t="n"/>
      <c r="B21" s="19" t="n"/>
      <c r="C21" s="14" t="n"/>
    </row>
    <row r="22">
      <c r="A22" s="18" t="n"/>
      <c r="B22" s="19" t="n"/>
      <c r="C22" s="14" t="n"/>
    </row>
    <row r="23">
      <c r="A23" s="18" t="n"/>
      <c r="B23" s="19" t="n"/>
      <c r="C23" s="14" t="n"/>
    </row>
    <row r="24">
      <c r="A24" s="18" t="n"/>
      <c r="B24" s="19" t="n"/>
      <c r="C24" s="14" t="n"/>
    </row>
    <row r="25">
      <c r="A25" s="18" t="n"/>
      <c r="B25" s="19" t="n"/>
      <c r="C25" s="14" t="n"/>
    </row>
    <row r="26">
      <c r="A26" s="18" t="n"/>
      <c r="B26" s="19" t="n"/>
      <c r="C26" s="14" t="n"/>
    </row>
    <row r="27">
      <c r="A27" s="18" t="n"/>
      <c r="B27" s="19" t="n"/>
      <c r="C27" s="14" t="n"/>
    </row>
    <row r="28">
      <c r="A28" s="18" t="n"/>
      <c r="B28" s="19" t="n"/>
      <c r="C28" s="14" t="n"/>
    </row>
    <row r="29">
      <c r="A29" s="18" t="n"/>
      <c r="B29" s="19" t="n"/>
      <c r="C29" s="14" t="n"/>
    </row>
    <row r="30">
      <c r="A30" s="18" t="n"/>
      <c r="B30" s="19" t="n"/>
      <c r="C30" s="14" t="n"/>
    </row>
    <row r="31">
      <c r="A31" s="18" t="n"/>
      <c r="B31" s="19" t="n"/>
      <c r="C31" s="14" t="n"/>
    </row>
    <row r="32">
      <c r="A32" s="18" t="n"/>
      <c r="B32" s="19" t="n"/>
      <c r="C32" s="14" t="n"/>
    </row>
    <row r="33">
      <c r="A33" s="18" t="n"/>
      <c r="B33" s="19" t="n"/>
      <c r="C33" s="14" t="n"/>
    </row>
    <row r="34">
      <c r="A34" s="18" t="n"/>
      <c r="B34" s="19" t="n"/>
      <c r="C34" s="14" t="n"/>
    </row>
    <row r="35">
      <c r="A35" s="18" t="n"/>
      <c r="B35" s="19" t="n"/>
      <c r="C35" s="14" t="n"/>
    </row>
    <row r="36">
      <c r="A36" s="18" t="n"/>
      <c r="B36" s="19" t="n"/>
      <c r="C36" s="14" t="n"/>
    </row>
    <row r="37">
      <c r="A37" s="18" t="n"/>
      <c r="B37" s="19" t="n"/>
      <c r="C37" s="14" t="n"/>
    </row>
    <row r="38">
      <c r="A38" s="18" t="n"/>
      <c r="B38" s="19" t="n"/>
      <c r="C38" s="14" t="n"/>
    </row>
    <row r="39">
      <c r="A39" s="18" t="n"/>
      <c r="B39" s="19" t="n"/>
      <c r="C39" s="14" t="n"/>
    </row>
    <row r="40">
      <c r="A40" s="18" t="n"/>
      <c r="B40" s="19" t="n"/>
      <c r="C40" s="14" t="n"/>
    </row>
    <row r="41">
      <c r="A41" s="18" t="n"/>
      <c r="B41" s="19" t="n"/>
      <c r="C41" s="14" t="n"/>
    </row>
    <row r="42">
      <c r="A42" s="18" t="n"/>
      <c r="B42" s="19" t="n"/>
      <c r="C42" s="14" t="n"/>
    </row>
    <row r="43">
      <c r="A43" s="18" t="n"/>
      <c r="B43" s="19" t="n"/>
      <c r="C43" s="14" t="n"/>
    </row>
    <row r="44">
      <c r="A44" s="18" t="n"/>
      <c r="B44" s="19" t="n"/>
      <c r="C44" s="14" t="n"/>
    </row>
    <row r="45">
      <c r="A45" s="18" t="n"/>
      <c r="B45" s="19" t="n"/>
      <c r="C45" s="14" t="n"/>
    </row>
    <row r="46">
      <c r="A46" s="18" t="n"/>
      <c r="B46" s="19" t="n"/>
      <c r="C46" s="14" t="n"/>
    </row>
    <row r="47">
      <c r="A47" s="18" t="n"/>
      <c r="B47" s="19" t="n"/>
      <c r="C47" s="14" t="n"/>
    </row>
    <row r="48">
      <c r="A48" s="18" t="n"/>
      <c r="B48" s="19" t="n"/>
      <c r="C48" s="14" t="n"/>
    </row>
    <row r="49">
      <c r="A49" s="18" t="n"/>
      <c r="B49" s="19" t="n"/>
      <c r="C49" s="14" t="n"/>
    </row>
    <row r="50">
      <c r="A50" s="18" t="n"/>
      <c r="B50" s="19" t="n"/>
      <c r="C50" s="14" t="n"/>
    </row>
    <row r="51">
      <c r="A51" s="18" t="n"/>
      <c r="B51" s="19" t="n"/>
      <c r="C51" s="14" t="n"/>
    </row>
    <row r="52">
      <c r="A52" s="18" t="n"/>
      <c r="B52" s="19" t="n"/>
      <c r="C52" s="14" t="n"/>
    </row>
    <row r="53">
      <c r="A53" s="18" t="n"/>
      <c r="B53" s="19" t="n"/>
      <c r="C53" s="14" t="n"/>
    </row>
    <row r="54">
      <c r="A54" s="18" t="n"/>
      <c r="B54" s="19" t="n"/>
      <c r="C54" s="14" t="n"/>
    </row>
    <row r="55">
      <c r="A55" s="18" t="n"/>
      <c r="B55" s="19" t="n"/>
      <c r="C55" s="14" t="n"/>
    </row>
    <row r="56">
      <c r="A56" s="18" t="n"/>
      <c r="B56" s="19" t="n"/>
      <c r="C56" s="14" t="n"/>
    </row>
    <row r="57">
      <c r="A57" s="18" t="n"/>
      <c r="B57" s="19" t="n"/>
      <c r="C57" s="14" t="n"/>
    </row>
    <row r="58">
      <c r="A58" s="18" t="n"/>
      <c r="B58" s="19" t="n"/>
      <c r="C58" s="14" t="n"/>
    </row>
    <row r="59">
      <c r="A59" s="18" t="n"/>
      <c r="B59" s="19" t="n"/>
      <c r="C59" s="14" t="n"/>
    </row>
    <row r="60">
      <c r="A60" s="18" t="n"/>
      <c r="B60" s="19" t="n"/>
      <c r="C60" s="14" t="n"/>
    </row>
    <row r="61">
      <c r="A61" s="18" t="n"/>
      <c r="B61" s="19" t="n"/>
      <c r="C61" s="14" t="n"/>
    </row>
    <row r="62">
      <c r="A62" s="18" t="n"/>
      <c r="B62" s="19" t="n"/>
      <c r="C62" s="14" t="n"/>
    </row>
    <row r="63">
      <c r="A63" s="18" t="n"/>
      <c r="B63" s="19" t="n"/>
      <c r="C63" s="14" t="n"/>
    </row>
    <row r="64">
      <c r="A64" s="18" t="n"/>
      <c r="B64" s="19" t="n"/>
      <c r="C64" s="14" t="n"/>
    </row>
    <row r="65">
      <c r="A65" s="18" t="n"/>
      <c r="B65" s="19" t="n"/>
      <c r="C65" s="14" t="n"/>
    </row>
    <row r="66">
      <c r="A66" s="18" t="n"/>
      <c r="B66" s="19" t="n"/>
      <c r="C66" s="14" t="n"/>
    </row>
    <row r="67">
      <c r="A67" s="18" t="n"/>
      <c r="B67" s="19" t="n"/>
      <c r="C67" s="14" t="n"/>
    </row>
    <row r="68">
      <c r="A68" s="18" t="n"/>
      <c r="B68" s="19" t="n"/>
      <c r="C68" s="14" t="n"/>
    </row>
    <row r="69">
      <c r="A69" s="18" t="n"/>
      <c r="B69" s="19" t="n"/>
      <c r="C69" s="14" t="n"/>
    </row>
    <row r="70">
      <c r="A70" s="18" t="n"/>
      <c r="B70" s="19" t="n"/>
      <c r="C70" s="14" t="n"/>
    </row>
    <row r="71">
      <c r="A71" s="18" t="n"/>
      <c r="B71" s="19" t="n"/>
      <c r="C71" s="14" t="n"/>
    </row>
    <row r="72">
      <c r="A72" s="18" t="n"/>
      <c r="B72" s="19" t="n"/>
      <c r="C72" s="14" t="n"/>
    </row>
    <row r="73">
      <c r="A73" s="18" t="n"/>
      <c r="B73" s="19" t="n"/>
      <c r="C73" s="14" t="n"/>
    </row>
    <row r="74">
      <c r="A74" s="18" t="n"/>
      <c r="B74" s="19" t="n"/>
      <c r="C74" s="14" t="n"/>
    </row>
    <row r="75">
      <c r="A75" s="18" t="n"/>
      <c r="B75" s="19" t="n"/>
      <c r="C75" s="14" t="n"/>
    </row>
    <row r="76">
      <c r="A76" s="18" t="n"/>
      <c r="B76" s="19" t="n"/>
      <c r="C76" s="14" t="n"/>
    </row>
    <row r="77">
      <c r="A77" s="18" t="n"/>
      <c r="B77" s="19" t="n"/>
      <c r="C77" s="14" t="n"/>
    </row>
    <row r="78">
      <c r="A78" s="18" t="n"/>
      <c r="B78" s="19" t="n"/>
      <c r="C78" s="14" t="n"/>
    </row>
    <row r="79">
      <c r="A79" s="18" t="n"/>
      <c r="B79" s="19" t="n"/>
      <c r="C79" s="14" t="n"/>
    </row>
    <row r="80">
      <c r="A80" s="18" t="n"/>
      <c r="B80" s="19" t="n"/>
      <c r="C80" s="14" t="n"/>
    </row>
    <row r="81">
      <c r="A81" s="18" t="n"/>
      <c r="B81" s="19" t="n"/>
      <c r="C81" s="14" t="n"/>
    </row>
    <row r="82">
      <c r="A82" s="18" t="n"/>
      <c r="B82" s="19" t="n"/>
      <c r="C82" s="14" t="n"/>
    </row>
    <row r="83">
      <c r="A83" s="18" t="n"/>
      <c r="B83" s="19" t="n"/>
      <c r="C83" s="14" t="n"/>
    </row>
    <row r="84">
      <c r="A84" s="18" t="n"/>
      <c r="B84" s="19" t="n"/>
      <c r="C84" s="14" t="n"/>
    </row>
    <row r="85">
      <c r="A85" s="18" t="n"/>
      <c r="B85" s="19" t="n"/>
      <c r="C85" s="14" t="n"/>
    </row>
    <row r="86">
      <c r="A86" s="18" t="n"/>
      <c r="B86" s="19" t="n"/>
      <c r="C86" s="14" t="n"/>
    </row>
    <row r="87">
      <c r="A87" s="18" t="n"/>
      <c r="B87" s="19" t="n"/>
      <c r="C87" s="14" t="n"/>
    </row>
    <row r="88">
      <c r="A88" s="18" t="n"/>
      <c r="B88" s="19" t="n"/>
      <c r="C88" s="14" t="n"/>
    </row>
    <row r="89">
      <c r="A89" s="18" t="n"/>
      <c r="B89" s="19" t="n"/>
      <c r="C89" s="14" t="n"/>
    </row>
    <row r="90">
      <c r="A90" s="18" t="n"/>
      <c r="B90" s="19" t="n"/>
      <c r="C90" s="14" t="n"/>
    </row>
    <row r="91">
      <c r="A91" s="18" t="n"/>
      <c r="B91" s="19" t="n"/>
      <c r="C91" s="14" t="n"/>
    </row>
    <row r="92">
      <c r="A92" s="18" t="n"/>
      <c r="B92" s="19" t="n"/>
      <c r="C92" s="14" t="n"/>
    </row>
    <row r="93">
      <c r="A93" s="18" t="n"/>
      <c r="B93" s="19" t="n"/>
      <c r="C93" s="14" t="n"/>
    </row>
    <row r="94">
      <c r="A94" s="18" t="n"/>
      <c r="B94" s="19" t="n"/>
      <c r="C94" s="14" t="n"/>
    </row>
    <row r="95">
      <c r="A95" s="18" t="n"/>
      <c r="B95" s="19" t="n"/>
      <c r="C95" s="14" t="n"/>
    </row>
    <row r="96">
      <c r="A96" s="18" t="n"/>
      <c r="B96" s="19" t="n"/>
      <c r="C96" s="14" t="n"/>
    </row>
    <row r="97">
      <c r="A97" s="18" t="n"/>
      <c r="B97" s="19" t="n"/>
      <c r="C97" s="14" t="n"/>
    </row>
    <row r="98">
      <c r="A98" s="18" t="n"/>
      <c r="B98" s="19" t="n"/>
      <c r="C98" s="14" t="n"/>
    </row>
    <row r="99">
      <c r="A99" s="18" t="n"/>
      <c r="B99" s="19" t="n"/>
      <c r="C99" s="14" t="n"/>
    </row>
    <row r="100">
      <c r="A100" s="18" t="n"/>
      <c r="B100" s="19" t="n"/>
      <c r="C100" s="14" t="n"/>
    </row>
    <row r="101">
      <c r="A101" s="18" t="n"/>
      <c r="B101" s="19" t="n"/>
      <c r="C101" s="14" t="n"/>
    </row>
    <row r="102">
      <c r="A102" s="18" t="n"/>
      <c r="B102" s="19" t="n"/>
      <c r="C102" s="14" t="n"/>
    </row>
    <row r="103">
      <c r="A103" s="18" t="n"/>
      <c r="B103" s="19" t="n"/>
      <c r="C103" s="14" t="n"/>
    </row>
    <row r="105">
      <c r="B105" s="3" t="inlineStr">
        <is>
          <t>Totale speso dal buffer</t>
        </is>
      </c>
      <c r="C105" s="21">
        <f>SUM($C$4:$C$103)</f>
        <v/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</cols>
  <sheetData>
    <row r="1">
      <c r="A1" s="1" t="inlineStr">
        <is>
          <t>Entrate — stipendi, contributi, rimborsi</t>
        </is>
      </c>
    </row>
    <row r="2" ht="28" customHeight="1">
      <c r="A2" s="9" t="inlineStr">
        <is>
          <t>Registra qui ogni entrata importante, per sapere sempre da dove viene ogni euro. Le righe in corsivo blu sono previsioni (non ancora arrivate): correggile con l'importo vero appena arrivano, o cancellale se saltano.</t>
        </is>
      </c>
    </row>
    <row r="3">
      <c r="A3" s="20" t="inlineStr">
        <is>
          <t>Data</t>
        </is>
      </c>
      <c r="B3" s="20" t="inlineStr">
        <is>
          <t>Voce</t>
        </is>
      </c>
      <c r="C3" s="20" t="inlineStr">
        <is>
          <t>Importo (€)</t>
        </is>
      </c>
    </row>
    <row r="4">
      <c r="A4" s="15" t="n">
        <v>46294</v>
      </c>
      <c r="B4" s="17" t="inlineStr">
        <is>
          <t>Stipendio di settembre — accreditato, confermato</t>
        </is>
      </c>
      <c r="C4" s="16" t="n">
        <v>2197</v>
      </c>
    </row>
    <row r="5">
      <c r="A5" s="11" t="n">
        <v>46296</v>
      </c>
      <c r="B5" s="13" t="inlineStr">
        <is>
          <t>Bonifico da papà (previsto)</t>
        </is>
      </c>
      <c r="C5" s="12" t="n">
        <v>250</v>
      </c>
    </row>
    <row r="6">
      <c r="A6" s="11" t="n">
        <v>46296</v>
      </c>
      <c r="B6" s="13" t="inlineStr">
        <is>
          <t>Ricarica buoni pasto — 22 giorni lavorativi × 9 € (previsto)</t>
        </is>
      </c>
      <c r="C6" s="12" t="n">
        <v>198</v>
      </c>
    </row>
    <row r="7">
      <c r="A7" s="11" t="n">
        <v>46341</v>
      </c>
      <c r="B7" s="13" t="inlineStr">
        <is>
          <t>Rimborso 730 — accredito su carta (atteso nov/dic, importo confermato dal 730-3)</t>
        </is>
      </c>
      <c r="C7" s="12" t="n">
        <v>1481</v>
      </c>
    </row>
    <row r="8">
      <c r="A8" s="11" t="n">
        <v>46357</v>
      </c>
      <c r="B8" s="13" t="inlineStr">
        <is>
          <t>Tredicesima 2026 — 5/12 da assunzione 03/08/2026, netto stimato dal cedolino di agosto (previsto)</t>
        </is>
      </c>
      <c r="C8" s="12" t="n">
        <v>800</v>
      </c>
    </row>
    <row r="9">
      <c r="A9" s="18" t="n"/>
      <c r="B9" s="19" t="n"/>
      <c r="C9" s="14" t="n"/>
    </row>
    <row r="10">
      <c r="A10" s="18" t="n"/>
      <c r="B10" s="19" t="n"/>
      <c r="C10" s="14" t="n"/>
    </row>
    <row r="11">
      <c r="A11" s="18" t="n"/>
      <c r="B11" s="19" t="n"/>
      <c r="C11" s="14" t="n"/>
    </row>
    <row r="12">
      <c r="A12" s="18" t="n"/>
      <c r="B12" s="19" t="n"/>
      <c r="C12" s="14" t="n"/>
    </row>
    <row r="13">
      <c r="A13" s="18" t="n"/>
      <c r="B13" s="19" t="n"/>
      <c r="C13" s="14" t="n"/>
    </row>
    <row r="14">
      <c r="A14" s="18" t="n"/>
      <c r="B14" s="19" t="n"/>
      <c r="C14" s="14" t="n"/>
    </row>
    <row r="15">
      <c r="A15" s="18" t="n"/>
      <c r="B15" s="19" t="n"/>
      <c r="C15" s="14" t="n"/>
    </row>
    <row r="16">
      <c r="A16" s="18" t="n"/>
      <c r="B16" s="19" t="n"/>
      <c r="C16" s="14" t="n"/>
    </row>
    <row r="17">
      <c r="A17" s="18" t="n"/>
      <c r="B17" s="19" t="n"/>
      <c r="C17" s="14" t="n"/>
    </row>
    <row r="18">
      <c r="A18" s="18" t="n"/>
      <c r="B18" s="19" t="n"/>
      <c r="C18" s="14" t="n"/>
    </row>
    <row r="19">
      <c r="A19" s="18" t="n"/>
      <c r="B19" s="19" t="n"/>
      <c r="C19" s="14" t="n"/>
    </row>
    <row r="20">
      <c r="A20" s="18" t="n"/>
      <c r="B20" s="19" t="n"/>
      <c r="C20" s="14" t="n"/>
    </row>
    <row r="21">
      <c r="A21" s="18" t="n"/>
      <c r="B21" s="19" t="n"/>
      <c r="C21" s="14" t="n"/>
    </row>
    <row r="22">
      <c r="A22" s="18" t="n"/>
      <c r="B22" s="19" t="n"/>
      <c r="C22" s="14" t="n"/>
    </row>
    <row r="23">
      <c r="A23" s="18" t="n"/>
      <c r="B23" s="19" t="n"/>
      <c r="C23" s="14" t="n"/>
    </row>
    <row r="24">
      <c r="A24" s="18" t="n"/>
      <c r="B24" s="19" t="n"/>
      <c r="C24" s="14" t="n"/>
    </row>
    <row r="25">
      <c r="A25" s="18" t="n"/>
      <c r="B25" s="19" t="n"/>
      <c r="C25" s="14" t="n"/>
    </row>
    <row r="26">
      <c r="A26" s="18" t="n"/>
      <c r="B26" s="19" t="n"/>
      <c r="C26" s="14" t="n"/>
    </row>
    <row r="27">
      <c r="A27" s="18" t="n"/>
      <c r="B27" s="19" t="n"/>
      <c r="C27" s="14" t="n"/>
    </row>
    <row r="28">
      <c r="A28" s="18" t="n"/>
      <c r="B28" s="19" t="n"/>
      <c r="C28" s="14" t="n"/>
    </row>
    <row r="29">
      <c r="A29" s="18" t="n"/>
      <c r="B29" s="19" t="n"/>
      <c r="C29" s="14" t="n"/>
    </row>
    <row r="30">
      <c r="A30" s="18" t="n"/>
      <c r="B30" s="19" t="n"/>
      <c r="C30" s="14" t="n"/>
    </row>
    <row r="31">
      <c r="A31" s="18" t="n"/>
      <c r="B31" s="19" t="n"/>
      <c r="C31" s="14" t="n"/>
    </row>
    <row r="32">
      <c r="A32" s="18" t="n"/>
      <c r="B32" s="19" t="n"/>
      <c r="C32" s="14" t="n"/>
    </row>
    <row r="33">
      <c r="A33" s="18" t="n"/>
      <c r="B33" s="19" t="n"/>
      <c r="C33" s="14" t="n"/>
    </row>
    <row r="34">
      <c r="A34" s="18" t="n"/>
      <c r="B34" s="19" t="n"/>
      <c r="C34" s="14" t="n"/>
    </row>
    <row r="35">
      <c r="A35" s="18" t="n"/>
      <c r="B35" s="19" t="n"/>
      <c r="C35" s="14" t="n"/>
    </row>
    <row r="36">
      <c r="A36" s="18" t="n"/>
      <c r="B36" s="19" t="n"/>
      <c r="C36" s="14" t="n"/>
    </row>
    <row r="37">
      <c r="A37" s="18" t="n"/>
      <c r="B37" s="19" t="n"/>
      <c r="C37" s="14" t="n"/>
    </row>
    <row r="38">
      <c r="A38" s="18" t="n"/>
      <c r="B38" s="19" t="n"/>
      <c r="C38" s="14" t="n"/>
    </row>
    <row r="39">
      <c r="A39" s="18" t="n"/>
      <c r="B39" s="19" t="n"/>
      <c r="C39" s="14" t="n"/>
    </row>
    <row r="40">
      <c r="A40" s="18" t="n"/>
      <c r="B40" s="19" t="n"/>
      <c r="C40" s="14" t="n"/>
    </row>
    <row r="41">
      <c r="A41" s="18" t="n"/>
      <c r="B41" s="19" t="n"/>
      <c r="C41" s="14" t="n"/>
    </row>
    <row r="42">
      <c r="A42" s="18" t="n"/>
      <c r="B42" s="19" t="n"/>
      <c r="C42" s="14" t="n"/>
    </row>
    <row r="43">
      <c r="A43" s="18" t="n"/>
      <c r="B43" s="19" t="n"/>
      <c r="C43" s="14" t="n"/>
    </row>
    <row r="44">
      <c r="A44" s="18" t="n"/>
      <c r="B44" s="19" t="n"/>
      <c r="C44" s="14" t="n"/>
    </row>
    <row r="45">
      <c r="A45" s="18" t="n"/>
      <c r="B45" s="19" t="n"/>
      <c r="C45" s="14" t="n"/>
    </row>
    <row r="46">
      <c r="A46" s="18" t="n"/>
      <c r="B46" s="19" t="n"/>
      <c r="C46" s="14" t="n"/>
    </row>
    <row r="47">
      <c r="A47" s="18" t="n"/>
      <c r="B47" s="19" t="n"/>
      <c r="C47" s="14" t="n"/>
    </row>
    <row r="48">
      <c r="A48" s="18" t="n"/>
      <c r="B48" s="19" t="n"/>
      <c r="C48" s="14" t="n"/>
    </row>
    <row r="49">
      <c r="A49" s="18" t="n"/>
      <c r="B49" s="19" t="n"/>
      <c r="C49" s="14" t="n"/>
    </row>
    <row r="50">
      <c r="A50" s="18" t="n"/>
      <c r="B50" s="19" t="n"/>
      <c r="C50" s="14" t="n"/>
    </row>
    <row r="51">
      <c r="A51" s="18" t="n"/>
      <c r="B51" s="19" t="n"/>
      <c r="C51" s="14" t="n"/>
    </row>
    <row r="52">
      <c r="A52" s="18" t="n"/>
      <c r="B52" s="19" t="n"/>
      <c r="C52" s="14" t="n"/>
    </row>
    <row r="53">
      <c r="A53" s="18" t="n"/>
      <c r="B53" s="19" t="n"/>
      <c r="C53" s="14" t="n"/>
    </row>
    <row r="54">
      <c r="A54" s="18" t="n"/>
      <c r="B54" s="19" t="n"/>
      <c r="C54" s="14" t="n"/>
    </row>
    <row r="55">
      <c r="A55" s="18" t="n"/>
      <c r="B55" s="19" t="n"/>
      <c r="C55" s="14" t="n"/>
    </row>
    <row r="56">
      <c r="A56" s="18" t="n"/>
      <c r="B56" s="19" t="n"/>
      <c r="C56" s="14" t="n"/>
    </row>
    <row r="57">
      <c r="A57" s="18" t="n"/>
      <c r="B57" s="19" t="n"/>
      <c r="C57" s="14" t="n"/>
    </row>
    <row r="58">
      <c r="A58" s="18" t="n"/>
      <c r="B58" s="19" t="n"/>
      <c r="C58" s="14" t="n"/>
    </row>
    <row r="59">
      <c r="A59" s="18" t="n"/>
      <c r="B59" s="19" t="n"/>
      <c r="C59" s="14" t="n"/>
    </row>
    <row r="60">
      <c r="A60" s="18" t="n"/>
      <c r="B60" s="19" t="n"/>
      <c r="C60" s="14" t="n"/>
    </row>
    <row r="61">
      <c r="A61" s="18" t="n"/>
      <c r="B61" s="19" t="n"/>
      <c r="C61" s="14" t="n"/>
    </row>
    <row r="62">
      <c r="A62" s="18" t="n"/>
      <c r="B62" s="19" t="n"/>
      <c r="C62" s="14" t="n"/>
    </row>
    <row r="63">
      <c r="A63" s="18" t="n"/>
      <c r="B63" s="19" t="n"/>
      <c r="C63" s="14" t="n"/>
    </row>
    <row r="64">
      <c r="A64" s="18" t="n"/>
      <c r="B64" s="19" t="n"/>
      <c r="C64" s="14" t="n"/>
    </row>
    <row r="65">
      <c r="A65" s="18" t="n"/>
      <c r="B65" s="19" t="n"/>
      <c r="C65" s="14" t="n"/>
    </row>
    <row r="66">
      <c r="A66" s="18" t="n"/>
      <c r="B66" s="19" t="n"/>
      <c r="C66" s="14" t="n"/>
    </row>
    <row r="67">
      <c r="A67" s="18" t="n"/>
      <c r="B67" s="19" t="n"/>
      <c r="C67" s="14" t="n"/>
    </row>
    <row r="68">
      <c r="A68" s="18" t="n"/>
      <c r="B68" s="19" t="n"/>
      <c r="C68" s="14" t="n"/>
    </row>
    <row r="69">
      <c r="A69" s="18" t="n"/>
      <c r="B69" s="19" t="n"/>
      <c r="C69" s="14" t="n"/>
    </row>
    <row r="70">
      <c r="A70" s="18" t="n"/>
      <c r="B70" s="19" t="n"/>
      <c r="C70" s="14" t="n"/>
    </row>
    <row r="71">
      <c r="A71" s="18" t="n"/>
      <c r="B71" s="19" t="n"/>
      <c r="C71" s="14" t="n"/>
    </row>
    <row r="72">
      <c r="A72" s="18" t="n"/>
      <c r="B72" s="19" t="n"/>
      <c r="C72" s="14" t="n"/>
    </row>
    <row r="73">
      <c r="A73" s="18" t="n"/>
      <c r="B73" s="19" t="n"/>
      <c r="C73" s="14" t="n"/>
    </row>
    <row r="74">
      <c r="A74" s="18" t="n"/>
      <c r="B74" s="19" t="n"/>
      <c r="C74" s="14" t="n"/>
    </row>
    <row r="75">
      <c r="A75" s="18" t="n"/>
      <c r="B75" s="19" t="n"/>
      <c r="C75" s="14" t="n"/>
    </row>
    <row r="76">
      <c r="A76" s="18" t="n"/>
      <c r="B76" s="19" t="n"/>
      <c r="C76" s="14" t="n"/>
    </row>
    <row r="77">
      <c r="A77" s="18" t="n"/>
      <c r="B77" s="19" t="n"/>
      <c r="C77" s="14" t="n"/>
    </row>
    <row r="78">
      <c r="A78" s="18" t="n"/>
      <c r="B78" s="19" t="n"/>
      <c r="C78" s="14" t="n"/>
    </row>
    <row r="79">
      <c r="A79" s="18" t="n"/>
      <c r="B79" s="19" t="n"/>
      <c r="C79" s="14" t="n"/>
    </row>
    <row r="80">
      <c r="A80" s="18" t="n"/>
      <c r="B80" s="19" t="n"/>
      <c r="C80" s="14" t="n"/>
    </row>
    <row r="81">
      <c r="A81" s="18" t="n"/>
      <c r="B81" s="19" t="n"/>
      <c r="C81" s="14" t="n"/>
    </row>
    <row r="82">
      <c r="A82" s="18" t="n"/>
      <c r="B82" s="19" t="n"/>
      <c r="C82" s="14" t="n"/>
    </row>
    <row r="83">
      <c r="A83" s="18" t="n"/>
      <c r="B83" s="19" t="n"/>
      <c r="C83" s="14" t="n"/>
    </row>
    <row r="84">
      <c r="A84" s="18" t="n"/>
      <c r="B84" s="19" t="n"/>
      <c r="C84" s="14" t="n"/>
    </row>
    <row r="85">
      <c r="A85" s="18" t="n"/>
      <c r="B85" s="19" t="n"/>
      <c r="C85" s="14" t="n"/>
    </row>
    <row r="86">
      <c r="A86" s="18" t="n"/>
      <c r="B86" s="19" t="n"/>
      <c r="C86" s="14" t="n"/>
    </row>
    <row r="87">
      <c r="A87" s="18" t="n"/>
      <c r="B87" s="19" t="n"/>
      <c r="C87" s="14" t="n"/>
    </row>
    <row r="88">
      <c r="A88" s="18" t="n"/>
      <c r="B88" s="19" t="n"/>
      <c r="C88" s="14" t="n"/>
    </row>
    <row r="89">
      <c r="A89" s="18" t="n"/>
      <c r="B89" s="19" t="n"/>
      <c r="C89" s="14" t="n"/>
    </row>
    <row r="90">
      <c r="A90" s="18" t="n"/>
      <c r="B90" s="19" t="n"/>
      <c r="C90" s="14" t="n"/>
    </row>
    <row r="91">
      <c r="A91" s="18" t="n"/>
      <c r="B91" s="19" t="n"/>
      <c r="C91" s="14" t="n"/>
    </row>
    <row r="92">
      <c r="A92" s="18" t="n"/>
      <c r="B92" s="19" t="n"/>
      <c r="C92" s="14" t="n"/>
    </row>
    <row r="93">
      <c r="A93" s="18" t="n"/>
      <c r="B93" s="19" t="n"/>
      <c r="C93" s="14" t="n"/>
    </row>
    <row r="94">
      <c r="A94" s="18" t="n"/>
      <c r="B94" s="19" t="n"/>
      <c r="C94" s="14" t="n"/>
    </row>
    <row r="95">
      <c r="A95" s="18" t="n"/>
      <c r="B95" s="19" t="n"/>
      <c r="C95" s="14" t="n"/>
    </row>
    <row r="96">
      <c r="A96" s="18" t="n"/>
      <c r="B96" s="19" t="n"/>
      <c r="C96" s="14" t="n"/>
    </row>
    <row r="97">
      <c r="A97" s="18" t="n"/>
      <c r="B97" s="19" t="n"/>
      <c r="C97" s="14" t="n"/>
    </row>
    <row r="98">
      <c r="A98" s="18" t="n"/>
      <c r="B98" s="19" t="n"/>
      <c r="C98" s="14" t="n"/>
    </row>
    <row r="99">
      <c r="A99" s="18" t="n"/>
      <c r="B99" s="19" t="n"/>
      <c r="C99" s="14" t="n"/>
    </row>
    <row r="100">
      <c r="A100" s="18" t="n"/>
      <c r="B100" s="19" t="n"/>
      <c r="C100" s="14" t="n"/>
    </row>
    <row r="101">
      <c r="A101" s="18" t="n"/>
      <c r="B101" s="19" t="n"/>
      <c r="C101" s="14" t="n"/>
    </row>
    <row r="102">
      <c r="A102" s="18" t="n"/>
      <c r="B102" s="19" t="n"/>
      <c r="C102" s="14" t="n"/>
    </row>
    <row r="103">
      <c r="A103" s="18" t="n"/>
      <c r="B103" s="19" t="n"/>
      <c r="C103" s="14" t="n"/>
    </row>
    <row r="105">
      <c r="B105" s="3" t="inlineStr">
        <is>
          <t>Totale entrate registrate</t>
        </is>
      </c>
      <c r="C105" s="21">
        <f>SUM($C$4:$C$103)</f>
        <v/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Movimenti PostePay + buoni pasto — dati grezzi</t>
        </is>
      </c>
    </row>
    <row r="2" ht="50" customHeight="1">
      <c r="A2" s="9" t="inlineStr">
        <is>
          <t>Nessuna formula qui dentro: è solo un elenco. Le somme e i confronti li fai tu, come vuoi. Importo è sempre positivo: la direzione (spesa o accredito) è nella colonna Tipo, così non ti tocca fare i conti con il segno meno. Per aggiungere una categoria nuova basta scriverla — non c'è nulla da rompere. Il raggruppamento per data e categoria te lo preparo io in chat ogni volta che incolli i movimenti nuovi: tu li copi qui sotto così come sono.</t>
        </is>
      </c>
    </row>
    <row r="4">
      <c r="A4" s="20" t="inlineStr">
        <is>
          <t>Data</t>
        </is>
      </c>
      <c r="B4" s="20" t="inlineStr">
        <is>
          <t>Descrizione</t>
        </is>
      </c>
      <c r="C4" s="20" t="inlineStr">
        <is>
          <t>Importo (€)</t>
        </is>
      </c>
      <c r="D4" s="20" t="inlineStr">
        <is>
          <t>Tipo</t>
        </is>
      </c>
      <c r="E4" s="20" t="inlineStr">
        <is>
          <t>Categoria</t>
        </is>
      </c>
    </row>
    <row r="5">
      <c r="A5" s="15" t="n">
        <v>46272</v>
      </c>
      <c r="B5" s="17" t="inlineStr">
        <is>
          <t>PostePay — ricarica per attivazione nuova carta (saldo trasferito dalla vecchia)</t>
        </is>
      </c>
      <c r="C5" s="22" t="n">
        <v>980.1</v>
      </c>
      <c r="D5" s="17" t="inlineStr">
        <is>
          <t>Accredito</t>
        </is>
      </c>
      <c r="E5" s="17" t="inlineStr">
        <is>
          <t>Trasferimento</t>
        </is>
      </c>
    </row>
    <row r="6">
      <c r="A6" s="15" t="n">
        <v>46272</v>
      </c>
      <c r="B6" s="17" t="inlineStr">
        <is>
          <t>EdenRed — ricarica 21 buoni pasto</t>
        </is>
      </c>
      <c r="C6" s="22" t="n">
        <v>189</v>
      </c>
      <c r="D6" s="17" t="inlineStr">
        <is>
          <t>Accredito</t>
        </is>
      </c>
      <c r="E6" s="17" t="inlineStr">
        <is>
          <t>Entrata</t>
        </is>
      </c>
    </row>
    <row r="7">
      <c r="A7" s="15" t="n">
        <v>46275</v>
      </c>
      <c r="B7" s="17" t="inlineStr">
        <is>
          <t>PostePay — POS 46084 San Donato (benzina)</t>
        </is>
      </c>
      <c r="C7" s="22" t="n">
        <v>26.3</v>
      </c>
      <c r="D7" s="17" t="inlineStr">
        <is>
          <t>Spesa</t>
        </is>
      </c>
      <c r="E7" s="17" t="inlineStr">
        <is>
          <t>Benzina</t>
        </is>
      </c>
    </row>
    <row r="8">
      <c r="A8" s="15" t="n">
        <v>46277</v>
      </c>
      <c r="B8" s="17" t="inlineStr">
        <is>
          <t>PostePay — POS Market San Donato</t>
        </is>
      </c>
      <c r="C8" s="22" t="n">
        <v>4.14</v>
      </c>
      <c r="D8" s="17" t="inlineStr">
        <is>
          <t>Spesa</t>
        </is>
      </c>
      <c r="E8" s="17" t="inlineStr">
        <is>
          <t>Cibo</t>
        </is>
      </c>
    </row>
    <row r="9">
      <c r="A9" s="15" t="n">
        <v>46277</v>
      </c>
      <c r="B9" s="17" t="inlineStr">
        <is>
          <t>PostePay — POS Ipercoop Peschiera Borromeo</t>
        </is>
      </c>
      <c r="C9" s="22" t="n">
        <v>7.57</v>
      </c>
      <c r="D9" s="17" t="inlineStr">
        <is>
          <t>Spesa</t>
        </is>
      </c>
      <c r="E9" s="17" t="inlineStr">
        <is>
          <t>Cibo</t>
        </is>
      </c>
    </row>
    <row r="10">
      <c r="A10" s="15" t="n">
        <v>46278</v>
      </c>
      <c r="B10" s="17" t="inlineStr">
        <is>
          <t>PostePay — POS Scotti Andrea, Mediglia (Cascina de Lassi, Landriano — carne)</t>
        </is>
      </c>
      <c r="C10" s="22" t="n">
        <v>46</v>
      </c>
      <c r="D10" s="17" t="inlineStr">
        <is>
          <t>Spesa</t>
        </is>
      </c>
      <c r="E10" s="17" t="inlineStr">
        <is>
          <t>Cibo</t>
        </is>
      </c>
    </row>
    <row r="11">
      <c r="A11" s="15" t="n">
        <v>46278</v>
      </c>
      <c r="B11" s="17" t="inlineStr">
        <is>
          <t>PostePay — commissioni PagoPA</t>
        </is>
      </c>
      <c r="C11" s="22" t="n">
        <v>1.5</v>
      </c>
      <c r="D11" s="17" t="inlineStr">
        <is>
          <t>Spesa</t>
        </is>
      </c>
      <c r="E11" s="17" t="inlineStr">
        <is>
          <t>Bollette</t>
        </is>
      </c>
    </row>
    <row r="12">
      <c r="A12" s="15" t="n">
        <v>46278</v>
      </c>
      <c r="B12" s="17" t="inlineStr">
        <is>
          <t>PostePay — avviso PagoPA, Ente 06655971007</t>
        </is>
      </c>
      <c r="C12" s="22" t="n">
        <v>137.49</v>
      </c>
      <c r="D12" s="17" t="inlineStr">
        <is>
          <t>Spesa</t>
        </is>
      </c>
      <c r="E12" s="17" t="inlineStr">
        <is>
          <t>Bollette</t>
        </is>
      </c>
    </row>
    <row r="13">
      <c r="A13" s="15" t="n">
        <v>46279</v>
      </c>
      <c r="B13" s="17" t="inlineStr">
        <is>
          <t>PostePay — commissioni PagoPA</t>
        </is>
      </c>
      <c r="C13" s="22" t="n">
        <v>1.5</v>
      </c>
      <c r="D13" s="17" t="inlineStr">
        <is>
          <t>Spesa</t>
        </is>
      </c>
      <c r="E13" s="17" t="inlineStr">
        <is>
          <t>Bollette</t>
        </is>
      </c>
    </row>
    <row r="14">
      <c r="A14" s="15" t="n">
        <v>46279</v>
      </c>
      <c r="B14" s="17" t="inlineStr">
        <is>
          <t>PostePay — avviso PagoPA, Ente 06655971007</t>
        </is>
      </c>
      <c r="C14" s="22" t="n">
        <v>84.76000000000001</v>
      </c>
      <c r="D14" s="17" t="inlineStr">
        <is>
          <t>Spesa</t>
        </is>
      </c>
      <c r="E14" s="17" t="inlineStr">
        <is>
          <t>Bollette</t>
        </is>
      </c>
    </row>
    <row r="15">
      <c r="A15" s="15" t="n">
        <v>46279</v>
      </c>
      <c r="B15" s="17" t="inlineStr">
        <is>
          <t>PostePay — POS Esselunga San Giuliano Milanese</t>
        </is>
      </c>
      <c r="C15" s="22" t="n">
        <v>1.95</v>
      </c>
      <c r="D15" s="17" t="inlineStr">
        <is>
          <t>Spesa</t>
        </is>
      </c>
      <c r="E15" s="17" t="inlineStr">
        <is>
          <t>Cibo</t>
        </is>
      </c>
    </row>
    <row r="16">
      <c r="A16" s="15" t="n">
        <v>46279</v>
      </c>
      <c r="B16" s="17" t="inlineStr">
        <is>
          <t>EdenRed — Essselunga (buono pasto)</t>
        </is>
      </c>
      <c r="C16" s="22" t="n">
        <v>9</v>
      </c>
      <c r="D16" s="17" t="inlineStr">
        <is>
          <t>Spesa</t>
        </is>
      </c>
      <c r="E16" s="17" t="inlineStr">
        <is>
          <t>Cibo</t>
        </is>
      </c>
    </row>
    <row r="17">
      <c r="A17" s="15" t="n">
        <v>46279</v>
      </c>
      <c r="B17" s="17" t="inlineStr">
        <is>
          <t>EdenRed — Essselunga (2 buoni pasto)</t>
        </is>
      </c>
      <c r="C17" s="22" t="n">
        <v>18</v>
      </c>
      <c r="D17" s="17" t="inlineStr">
        <is>
          <t>Spesa</t>
        </is>
      </c>
      <c r="E17" s="17" t="inlineStr">
        <is>
          <t>Cibo</t>
        </is>
      </c>
    </row>
    <row r="18">
      <c r="A18" s="15" t="n">
        <v>46280</v>
      </c>
      <c r="B18" s="17" t="inlineStr">
        <is>
          <t>EdenRed — Meriggi (buono pasto)</t>
        </is>
      </c>
      <c r="C18" s="22" t="n">
        <v>9</v>
      </c>
      <c r="D18" s="17" t="inlineStr">
        <is>
          <t>Spesa</t>
        </is>
      </c>
      <c r="E18" s="17" t="inlineStr">
        <is>
          <t>Cibo</t>
        </is>
      </c>
    </row>
    <row r="19">
      <c r="A19" s="15" t="n">
        <v>46280</v>
      </c>
      <c r="B19" s="17" t="inlineStr">
        <is>
          <t>PostePay — versamento sul Salvadanaio</t>
        </is>
      </c>
      <c r="C19" s="22" t="n">
        <v>470</v>
      </c>
      <c r="D19" s="17" t="inlineStr">
        <is>
          <t>Spesa</t>
        </is>
      </c>
      <c r="E19" s="17" t="inlineStr">
        <is>
          <t>Trasferimento</t>
        </is>
      </c>
    </row>
    <row r="20">
      <c r="A20" s="15" t="n">
        <v>46280</v>
      </c>
      <c r="B20" s="17" t="inlineStr">
        <is>
          <t>PostePay — commissioni bonifico, estinzione conto BCC Caravaggio</t>
        </is>
      </c>
      <c r="C20" s="22" t="n">
        <v>1</v>
      </c>
      <c r="D20" s="17" t="inlineStr">
        <is>
          <t>Spesa</t>
        </is>
      </c>
      <c r="E20" s="17" t="inlineStr">
        <is>
          <t>Trasferimento</t>
        </is>
      </c>
    </row>
    <row r="21">
      <c r="A21" s="15" t="n">
        <v>46280</v>
      </c>
      <c r="B21" s="17" t="inlineStr">
        <is>
          <t>PostePay — bonifico SEPA istantaneo, estinzione conto BCC Caravaggio</t>
        </is>
      </c>
      <c r="C21" s="22" t="n">
        <v>25</v>
      </c>
      <c r="D21" s="17" t="inlineStr">
        <is>
          <t>Spesa</t>
        </is>
      </c>
      <c r="E21" s="17" t="inlineStr">
        <is>
          <t>Trasferimento</t>
        </is>
      </c>
    </row>
    <row r="22">
      <c r="A22" s="15" t="n">
        <v>46281</v>
      </c>
      <c r="B22" s="17" t="inlineStr">
        <is>
          <t>PostePay — POS PV1375, Milano (benzina)</t>
        </is>
      </c>
      <c r="C22" s="22" t="n">
        <v>27.84</v>
      </c>
      <c r="D22" s="17" t="inlineStr">
        <is>
          <t>Spesa</t>
        </is>
      </c>
      <c r="E22" s="17" t="inlineStr">
        <is>
          <t>Benzina</t>
        </is>
      </c>
    </row>
    <row r="23">
      <c r="A23" s="15" t="n">
        <v>46281</v>
      </c>
      <c r="B23" s="17" t="inlineStr">
        <is>
          <t>PostePay — POS Esselunga Monza</t>
        </is>
      </c>
      <c r="C23" s="22" t="n">
        <v>1.73</v>
      </c>
      <c r="D23" s="17" t="inlineStr">
        <is>
          <t>Spesa</t>
        </is>
      </c>
      <c r="E23" s="17" t="inlineStr">
        <is>
          <t>Cibo</t>
        </is>
      </c>
    </row>
    <row r="24">
      <c r="A24" s="15" t="n">
        <v>46281</v>
      </c>
      <c r="B24" s="17" t="inlineStr">
        <is>
          <t>EdenRed — Esselunga (buono pasto)</t>
        </is>
      </c>
      <c r="C24" s="22" t="n">
        <v>9</v>
      </c>
      <c r="D24" s="17" t="inlineStr">
        <is>
          <t>Spesa</t>
        </is>
      </c>
      <c r="E24" s="17" t="inlineStr">
        <is>
          <t>Cibo</t>
        </is>
      </c>
    </row>
    <row r="25">
      <c r="A25" s="15" t="n">
        <v>46281</v>
      </c>
      <c r="B25" s="17" t="inlineStr">
        <is>
          <t>Anthropic — abbonamento Claude</t>
        </is>
      </c>
      <c r="C25" s="22" t="n">
        <v>21.96</v>
      </c>
      <c r="D25" s="17" t="inlineStr">
        <is>
          <t>Spesa</t>
        </is>
      </c>
      <c r="E25" s="17" t="inlineStr">
        <is>
          <t>Abbonamenti</t>
        </is>
      </c>
    </row>
    <row r="26">
      <c r="A26" s="15" t="n">
        <v>46282</v>
      </c>
      <c r="B26" s="17" t="inlineStr">
        <is>
          <t>PostePay — bonifico SEPA, residuo estinzione conto BCC Caravaggio</t>
        </is>
      </c>
      <c r="C26" s="22" t="n">
        <v>0.01</v>
      </c>
      <c r="D26" s="17" t="inlineStr">
        <is>
          <t>Accredito</t>
        </is>
      </c>
      <c r="E26" s="17" t="inlineStr">
        <is>
          <t>Trasferimento</t>
        </is>
      </c>
    </row>
    <row r="27">
      <c r="A27" s="15" t="n">
        <v>46284</v>
      </c>
      <c r="B27" s="17" t="inlineStr">
        <is>
          <t>EdenRed — Tigros (3 buoni pasto)</t>
        </is>
      </c>
      <c r="C27" s="22" t="n">
        <v>27</v>
      </c>
      <c r="D27" s="17" t="inlineStr">
        <is>
          <t>Spesa</t>
        </is>
      </c>
      <c r="E27" s="17" t="inlineStr">
        <is>
          <t>Cibo</t>
        </is>
      </c>
    </row>
    <row r="28">
      <c r="A28" s="15" t="n">
        <v>46284</v>
      </c>
      <c r="B28" s="17" t="inlineStr">
        <is>
          <t>EdenRed — 2 movimenti non dettagliati (4 buoni pasto)</t>
        </is>
      </c>
      <c r="C28" s="22" t="n">
        <v>36</v>
      </c>
      <c r="D28" s="17" t="inlineStr">
        <is>
          <t>Spesa</t>
        </is>
      </c>
      <c r="E28" s="17" t="inlineStr">
        <is>
          <t>Cibo</t>
        </is>
      </c>
    </row>
    <row r="29">
      <c r="A29" s="18" t="n"/>
      <c r="B29" s="19" t="n"/>
      <c r="C29" s="23" t="n"/>
      <c r="D29" s="19" t="n"/>
      <c r="E29" s="19" t="n"/>
    </row>
    <row r="30" ht="50" customHeight="1">
      <c r="A30" s="24" t="inlineStr">
        <is>
          <t>Note</t>
        </is>
      </c>
      <c r="B30" s="9" t="inlineStr">
        <is>
          <t>«Trasferimento» = spostamenti fra tuoi conti/chiusura BCC Caravaggio: non sono spesa reale, tienile fuori dai tuoi conteggi di spesa. Le 4 ricariche buoni pasto del 19/09 non erano nello screenshot: importo dedotto da 21 caricati − 9 rimasti − gli 8 già visti = 4.</t>
        </is>
      </c>
    </row>
    <row r="31">
      <c r="A31" s="18" t="n"/>
      <c r="B31" s="19" t="n"/>
      <c r="C31" s="23" t="n"/>
      <c r="D31" s="19" t="n"/>
      <c r="E31" s="19" t="n"/>
    </row>
    <row r="32">
      <c r="A32" s="18" t="n"/>
      <c r="B32" s="19" t="n"/>
      <c r="C32" s="23" t="n"/>
      <c r="D32" s="19" t="n"/>
      <c r="E32" s="19" t="n"/>
    </row>
    <row r="33">
      <c r="A33" s="18" t="n"/>
      <c r="B33" s="19" t="n"/>
      <c r="C33" s="23" t="n"/>
      <c r="D33" s="19" t="n"/>
      <c r="E33" s="19" t="n"/>
    </row>
    <row r="34">
      <c r="A34" s="18" t="n"/>
      <c r="B34" s="19" t="n"/>
      <c r="C34" s="23" t="n"/>
      <c r="D34" s="19" t="n"/>
      <c r="E34" s="19" t="n"/>
    </row>
    <row r="35">
      <c r="A35" s="18" t="n"/>
      <c r="B35" s="19" t="n"/>
      <c r="C35" s="23" t="n"/>
      <c r="D35" s="19" t="n"/>
      <c r="E35" s="19" t="n"/>
    </row>
    <row r="36">
      <c r="A36" s="18" t="n"/>
      <c r="B36" s="19" t="n"/>
      <c r="C36" s="23" t="n"/>
      <c r="D36" s="19" t="n"/>
      <c r="E36" s="19" t="n"/>
    </row>
    <row r="37">
      <c r="A37" s="18" t="n"/>
      <c r="B37" s="19" t="n"/>
      <c r="C37" s="23" t="n"/>
      <c r="D37" s="19" t="n"/>
      <c r="E37" s="19" t="n"/>
    </row>
    <row r="38">
      <c r="A38" s="18" t="n"/>
      <c r="B38" s="19" t="n"/>
      <c r="C38" s="23" t="n"/>
      <c r="D38" s="19" t="n"/>
      <c r="E38" s="19" t="n"/>
    </row>
    <row r="39">
      <c r="A39" s="18" t="n"/>
      <c r="B39" s="19" t="n"/>
      <c r="C39" s="23" t="n"/>
      <c r="D39" s="19" t="n"/>
      <c r="E39" s="19" t="n"/>
    </row>
    <row r="40">
      <c r="A40" s="18" t="n"/>
      <c r="B40" s="19" t="n"/>
      <c r="C40" s="23" t="n"/>
      <c r="D40" s="19" t="n"/>
      <c r="E40" s="19" t="n"/>
    </row>
    <row r="41">
      <c r="A41" s="18" t="n"/>
      <c r="B41" s="19" t="n"/>
      <c r="C41" s="23" t="n"/>
      <c r="D41" s="19" t="n"/>
      <c r="E41" s="19" t="n"/>
    </row>
    <row r="42">
      <c r="A42" s="18" t="n"/>
      <c r="B42" s="19" t="n"/>
      <c r="C42" s="23" t="n"/>
      <c r="D42" s="19" t="n"/>
      <c r="E42" s="19" t="n"/>
    </row>
    <row r="43">
      <c r="A43" s="18" t="n"/>
      <c r="B43" s="19" t="n"/>
      <c r="C43" s="23" t="n"/>
      <c r="D43" s="19" t="n"/>
      <c r="E43" s="19" t="n"/>
    </row>
    <row r="44">
      <c r="A44" s="18" t="n"/>
      <c r="B44" s="19" t="n"/>
      <c r="C44" s="23" t="n"/>
      <c r="D44" s="19" t="n"/>
      <c r="E44" s="19" t="n"/>
    </row>
    <row r="45">
      <c r="A45" s="18" t="n"/>
      <c r="B45" s="19" t="n"/>
      <c r="C45" s="23" t="n"/>
      <c r="D45" s="19" t="n"/>
      <c r="E45" s="19" t="n"/>
    </row>
    <row r="46">
      <c r="A46" s="18" t="n"/>
      <c r="B46" s="19" t="n"/>
      <c r="C46" s="23" t="n"/>
      <c r="D46" s="19" t="n"/>
      <c r="E46" s="19" t="n"/>
    </row>
    <row r="47">
      <c r="A47" s="18" t="n"/>
      <c r="B47" s="19" t="n"/>
      <c r="C47" s="23" t="n"/>
      <c r="D47" s="19" t="n"/>
      <c r="E47" s="19" t="n"/>
    </row>
    <row r="48">
      <c r="A48" s="18" t="n"/>
      <c r="B48" s="19" t="n"/>
      <c r="C48" s="23" t="n"/>
      <c r="D48" s="19" t="n"/>
      <c r="E48" s="19" t="n"/>
    </row>
    <row r="49">
      <c r="A49" s="18" t="n"/>
      <c r="B49" s="19" t="n"/>
      <c r="C49" s="23" t="n"/>
      <c r="D49" s="19" t="n"/>
      <c r="E49" s="19" t="n"/>
    </row>
    <row r="50">
      <c r="A50" s="18" t="n"/>
      <c r="B50" s="19" t="n"/>
      <c r="C50" s="23" t="n"/>
      <c r="D50" s="19" t="n"/>
      <c r="E50" s="19" t="n"/>
    </row>
    <row r="51">
      <c r="A51" s="18" t="n"/>
      <c r="B51" s="19" t="n"/>
      <c r="C51" s="23" t="n"/>
      <c r="D51" s="19" t="n"/>
      <c r="E51" s="19" t="n"/>
    </row>
    <row r="52">
      <c r="A52" s="18" t="n"/>
      <c r="B52" s="19" t="n"/>
      <c r="C52" s="23" t="n"/>
      <c r="D52" s="19" t="n"/>
      <c r="E52" s="19" t="n"/>
    </row>
    <row r="53">
      <c r="A53" s="18" t="n"/>
      <c r="B53" s="19" t="n"/>
      <c r="C53" s="23" t="n"/>
      <c r="D53" s="19" t="n"/>
      <c r="E53" s="19" t="n"/>
    </row>
    <row r="54">
      <c r="A54" s="18" t="n"/>
      <c r="B54" s="19" t="n"/>
      <c r="C54" s="23" t="n"/>
      <c r="D54" s="19" t="n"/>
      <c r="E54" s="19" t="n"/>
    </row>
    <row r="55">
      <c r="A55" s="18" t="n"/>
      <c r="B55" s="19" t="n"/>
      <c r="C55" s="23" t="n"/>
      <c r="D55" s="19" t="n"/>
      <c r="E55" s="19" t="n"/>
    </row>
    <row r="56">
      <c r="A56" s="18" t="n"/>
      <c r="B56" s="19" t="n"/>
      <c r="C56" s="23" t="n"/>
      <c r="D56" s="19" t="n"/>
      <c r="E56" s="19" t="n"/>
    </row>
    <row r="57">
      <c r="A57" s="18" t="n"/>
      <c r="B57" s="19" t="n"/>
      <c r="C57" s="23" t="n"/>
      <c r="D57" s="19" t="n"/>
      <c r="E57" s="19" t="n"/>
    </row>
    <row r="58">
      <c r="A58" s="18" t="n"/>
      <c r="B58" s="19" t="n"/>
      <c r="C58" s="23" t="n"/>
      <c r="D58" s="19" t="n"/>
      <c r="E58" s="19" t="n"/>
    </row>
    <row r="59">
      <c r="A59" s="18" t="n"/>
      <c r="B59" s="19" t="n"/>
      <c r="C59" s="23" t="n"/>
      <c r="D59" s="19" t="n"/>
      <c r="E59" s="19" t="n"/>
    </row>
    <row r="60">
      <c r="A60" s="18" t="n"/>
      <c r="B60" s="19" t="n"/>
      <c r="C60" s="23" t="n"/>
      <c r="D60" s="19" t="n"/>
      <c r="E60" s="19" t="n"/>
    </row>
    <row r="61">
      <c r="A61" s="18" t="n"/>
      <c r="B61" s="19" t="n"/>
      <c r="C61" s="23" t="n"/>
      <c r="D61" s="19" t="n"/>
      <c r="E61" s="19" t="n"/>
    </row>
    <row r="62">
      <c r="A62" s="18" t="n"/>
      <c r="B62" s="19" t="n"/>
      <c r="C62" s="23" t="n"/>
      <c r="D62" s="19" t="n"/>
      <c r="E62" s="19" t="n"/>
    </row>
    <row r="63">
      <c r="A63" s="18" t="n"/>
      <c r="B63" s="19" t="n"/>
      <c r="C63" s="23" t="n"/>
      <c r="D63" s="19" t="n"/>
      <c r="E63" s="19" t="n"/>
    </row>
    <row r="64">
      <c r="A64" s="18" t="n"/>
      <c r="B64" s="19" t="n"/>
      <c r="C64" s="23" t="n"/>
      <c r="D64" s="19" t="n"/>
      <c r="E64" s="19" t="n"/>
    </row>
    <row r="65">
      <c r="A65" s="18" t="n"/>
      <c r="B65" s="19" t="n"/>
      <c r="C65" s="23" t="n"/>
      <c r="D65" s="19" t="n"/>
      <c r="E65" s="19" t="n"/>
    </row>
    <row r="66">
      <c r="A66" s="18" t="n"/>
      <c r="B66" s="19" t="n"/>
      <c r="C66" s="23" t="n"/>
      <c r="D66" s="19" t="n"/>
      <c r="E66" s="19" t="n"/>
    </row>
    <row r="67">
      <c r="A67" s="18" t="n"/>
      <c r="B67" s="19" t="n"/>
      <c r="C67" s="23" t="n"/>
      <c r="D67" s="19" t="n"/>
      <c r="E67" s="19" t="n"/>
    </row>
    <row r="68">
      <c r="A68" s="18" t="n"/>
      <c r="B68" s="19" t="n"/>
      <c r="C68" s="23" t="n"/>
      <c r="D68" s="19" t="n"/>
      <c r="E68" s="19" t="n"/>
    </row>
    <row r="69">
      <c r="A69" s="18" t="n"/>
      <c r="B69" s="19" t="n"/>
      <c r="C69" s="23" t="n"/>
      <c r="D69" s="19" t="n"/>
      <c r="E69" s="19" t="n"/>
    </row>
    <row r="70">
      <c r="A70" s="18" t="n"/>
      <c r="B70" s="19" t="n"/>
      <c r="C70" s="23" t="n"/>
      <c r="D70" s="19" t="n"/>
      <c r="E70" s="19" t="n"/>
    </row>
    <row r="71">
      <c r="A71" s="18" t="n"/>
      <c r="B71" s="19" t="n"/>
      <c r="C71" s="23" t="n"/>
      <c r="D71" s="19" t="n"/>
      <c r="E71" s="19" t="n"/>
    </row>
    <row r="72">
      <c r="A72" s="18" t="n"/>
      <c r="B72" s="19" t="n"/>
      <c r="C72" s="23" t="n"/>
      <c r="D72" s="19" t="n"/>
      <c r="E72" s="19" t="n"/>
    </row>
    <row r="73">
      <c r="A73" s="18" t="n"/>
      <c r="B73" s="19" t="n"/>
      <c r="C73" s="23" t="n"/>
      <c r="D73" s="19" t="n"/>
      <c r="E73" s="19" t="n"/>
    </row>
    <row r="74">
      <c r="A74" s="18" t="n"/>
      <c r="B74" s="19" t="n"/>
      <c r="C74" s="23" t="n"/>
      <c r="D74" s="19" t="n"/>
      <c r="E74" s="19" t="n"/>
    </row>
    <row r="75">
      <c r="A75" s="18" t="n"/>
      <c r="B75" s="19" t="n"/>
      <c r="C75" s="23" t="n"/>
      <c r="D75" s="19" t="n"/>
      <c r="E75" s="19" t="n"/>
    </row>
    <row r="76">
      <c r="A76" s="18" t="n"/>
      <c r="B76" s="19" t="n"/>
      <c r="C76" s="23" t="n"/>
      <c r="D76" s="19" t="n"/>
      <c r="E76" s="19" t="n"/>
    </row>
    <row r="77">
      <c r="A77" s="18" t="n"/>
      <c r="B77" s="19" t="n"/>
      <c r="C77" s="23" t="n"/>
      <c r="D77" s="19" t="n"/>
      <c r="E77" s="19" t="n"/>
    </row>
    <row r="78">
      <c r="A78" s="18" t="n"/>
      <c r="B78" s="19" t="n"/>
      <c r="C78" s="23" t="n"/>
      <c r="D78" s="19" t="n"/>
      <c r="E78" s="19" t="n"/>
    </row>
    <row r="79">
      <c r="A79" s="18" t="n"/>
      <c r="B79" s="19" t="n"/>
      <c r="C79" s="23" t="n"/>
      <c r="D79" s="19" t="n"/>
      <c r="E79" s="19" t="n"/>
    </row>
    <row r="80">
      <c r="A80" s="18" t="n"/>
      <c r="B80" s="19" t="n"/>
      <c r="C80" s="23" t="n"/>
      <c r="D80" s="19" t="n"/>
      <c r="E80" s="19" t="n"/>
    </row>
    <row r="81">
      <c r="A81" s="18" t="n"/>
      <c r="B81" s="19" t="n"/>
      <c r="C81" s="23" t="n"/>
      <c r="D81" s="19" t="n"/>
      <c r="E81" s="19" t="n"/>
    </row>
    <row r="82">
      <c r="A82" s="18" t="n"/>
      <c r="B82" s="19" t="n"/>
      <c r="C82" s="23" t="n"/>
      <c r="D82" s="19" t="n"/>
      <c r="E82" s="19" t="n"/>
    </row>
    <row r="83">
      <c r="A83" s="18" t="n"/>
      <c r="B83" s="19" t="n"/>
      <c r="C83" s="23" t="n"/>
      <c r="D83" s="19" t="n"/>
      <c r="E83" s="19" t="n"/>
    </row>
    <row r="84">
      <c r="A84" s="18" t="n"/>
      <c r="B84" s="19" t="n"/>
      <c r="C84" s="23" t="n"/>
      <c r="D84" s="19" t="n"/>
      <c r="E84" s="19" t="n"/>
    </row>
    <row r="85">
      <c r="A85" s="18" t="n"/>
      <c r="B85" s="19" t="n"/>
      <c r="C85" s="23" t="n"/>
      <c r="D85" s="19" t="n"/>
      <c r="E85" s="19" t="n"/>
    </row>
    <row r="86">
      <c r="A86" s="18" t="n"/>
      <c r="B86" s="19" t="n"/>
      <c r="C86" s="23" t="n"/>
      <c r="D86" s="19" t="n"/>
      <c r="E86" s="19" t="n"/>
    </row>
    <row r="87">
      <c r="A87" s="18" t="n"/>
      <c r="B87" s="19" t="n"/>
      <c r="C87" s="23" t="n"/>
      <c r="D87" s="19" t="n"/>
      <c r="E87" s="19" t="n"/>
    </row>
    <row r="88">
      <c r="A88" s="18" t="n"/>
      <c r="B88" s="19" t="n"/>
      <c r="C88" s="23" t="n"/>
      <c r="D88" s="19" t="n"/>
      <c r="E88" s="19" t="n"/>
    </row>
    <row r="89">
      <c r="A89" s="18" t="n"/>
      <c r="B89" s="19" t="n"/>
      <c r="C89" s="23" t="n"/>
      <c r="D89" s="19" t="n"/>
      <c r="E89" s="19" t="n"/>
    </row>
    <row r="90">
      <c r="A90" s="18" t="n"/>
      <c r="B90" s="19" t="n"/>
      <c r="C90" s="23" t="n"/>
      <c r="D90" s="19" t="n"/>
      <c r="E90" s="19" t="n"/>
    </row>
    <row r="91">
      <c r="A91" s="18" t="n"/>
      <c r="B91" s="19" t="n"/>
      <c r="C91" s="23" t="n"/>
      <c r="D91" s="19" t="n"/>
      <c r="E91" s="19" t="n"/>
    </row>
    <row r="92">
      <c r="A92" s="18" t="n"/>
      <c r="B92" s="19" t="n"/>
      <c r="C92" s="23" t="n"/>
      <c r="D92" s="19" t="n"/>
      <c r="E92" s="19" t="n"/>
    </row>
    <row r="93">
      <c r="A93" s="18" t="n"/>
      <c r="B93" s="19" t="n"/>
      <c r="C93" s="23" t="n"/>
      <c r="D93" s="19" t="n"/>
      <c r="E93" s="19" t="n"/>
    </row>
    <row r="94">
      <c r="A94" s="18" t="n"/>
      <c r="B94" s="19" t="n"/>
      <c r="C94" s="23" t="n"/>
      <c r="D94" s="19" t="n"/>
      <c r="E94" s="19" t="n"/>
    </row>
    <row r="95">
      <c r="A95" s="18" t="n"/>
      <c r="B95" s="19" t="n"/>
      <c r="C95" s="23" t="n"/>
      <c r="D95" s="19" t="n"/>
      <c r="E95" s="19" t="n"/>
    </row>
    <row r="96">
      <c r="A96" s="18" t="n"/>
      <c r="B96" s="19" t="n"/>
      <c r="C96" s="23" t="n"/>
      <c r="D96" s="19" t="n"/>
      <c r="E96" s="19" t="n"/>
    </row>
    <row r="97">
      <c r="A97" s="18" t="n"/>
      <c r="B97" s="19" t="n"/>
      <c r="C97" s="23" t="n"/>
      <c r="D97" s="19" t="n"/>
      <c r="E97" s="19" t="n"/>
    </row>
    <row r="98">
      <c r="A98" s="18" t="n"/>
      <c r="B98" s="19" t="n"/>
      <c r="C98" s="23" t="n"/>
      <c r="D98" s="19" t="n"/>
      <c r="E98" s="19" t="n"/>
    </row>
    <row r="99">
      <c r="A99" s="18" t="n"/>
      <c r="B99" s="19" t="n"/>
      <c r="C99" s="23" t="n"/>
      <c r="D99" s="19" t="n"/>
      <c r="E99" s="19" t="n"/>
    </row>
    <row r="100">
      <c r="A100" s="18" t="n"/>
      <c r="B100" s="19" t="n"/>
      <c r="C100" s="23" t="n"/>
      <c r="D100" s="19" t="n"/>
      <c r="E100" s="19" t="n"/>
    </row>
    <row r="101">
      <c r="A101" s="18" t="n"/>
      <c r="B101" s="19" t="n"/>
      <c r="C101" s="23" t="n"/>
      <c r="D101" s="19" t="n"/>
      <c r="E101" s="19" t="n"/>
    </row>
    <row r="102">
      <c r="A102" s="18" t="n"/>
      <c r="B102" s="19" t="n"/>
      <c r="C102" s="23" t="n"/>
      <c r="D102" s="19" t="n"/>
      <c r="E102" s="19" t="n"/>
    </row>
    <row r="103">
      <c r="A103" s="18" t="n"/>
      <c r="B103" s="19" t="n"/>
      <c r="C103" s="23" t="n"/>
      <c r="D103" s="19" t="n"/>
      <c r="E103" s="19" t="n"/>
    </row>
    <row r="104">
      <c r="A104" s="18" t="n"/>
      <c r="B104" s="19" t="n"/>
      <c r="C104" s="23" t="n"/>
      <c r="D104" s="19" t="n"/>
      <c r="E104" s="19" t="n"/>
    </row>
    <row r="105">
      <c r="A105" s="18" t="n"/>
      <c r="B105" s="19" t="n"/>
      <c r="C105" s="23" t="n"/>
      <c r="D105" s="19" t="n"/>
      <c r="E105" s="19" t="n"/>
    </row>
    <row r="106">
      <c r="A106" s="18" t="n"/>
      <c r="B106" s="19" t="n"/>
      <c r="C106" s="23" t="n"/>
      <c r="D106" s="19" t="n"/>
      <c r="E106" s="19" t="n"/>
    </row>
    <row r="107">
      <c r="A107" s="18" t="n"/>
      <c r="B107" s="19" t="n"/>
      <c r="C107" s="23" t="n"/>
      <c r="D107" s="19" t="n"/>
      <c r="E107" s="19" t="n"/>
    </row>
    <row r="108">
      <c r="A108" s="18" t="n"/>
      <c r="B108" s="19" t="n"/>
      <c r="C108" s="23" t="n"/>
      <c r="D108" s="19" t="n"/>
      <c r="E108" s="19" t="n"/>
    </row>
    <row r="109">
      <c r="A109" s="18" t="n"/>
      <c r="B109" s="19" t="n"/>
      <c r="C109" s="23" t="n"/>
      <c r="D109" s="19" t="n"/>
      <c r="E109" s="19" t="n"/>
    </row>
    <row r="110">
      <c r="A110" s="18" t="n"/>
      <c r="B110" s="19" t="n"/>
      <c r="C110" s="23" t="n"/>
      <c r="D110" s="19" t="n"/>
      <c r="E110" s="19" t="n"/>
    </row>
    <row r="111">
      <c r="A111" s="18" t="n"/>
      <c r="B111" s="19" t="n"/>
      <c r="C111" s="23" t="n"/>
      <c r="D111" s="19" t="n"/>
      <c r="E111" s="19" t="n"/>
    </row>
    <row r="112">
      <c r="A112" s="18" t="n"/>
      <c r="B112" s="19" t="n"/>
      <c r="C112" s="23" t="n"/>
      <c r="D112" s="19" t="n"/>
      <c r="E112" s="19" t="n"/>
    </row>
    <row r="113">
      <c r="A113" s="18" t="n"/>
      <c r="B113" s="19" t="n"/>
      <c r="C113" s="23" t="n"/>
      <c r="D113" s="19" t="n"/>
      <c r="E113" s="19" t="n"/>
    </row>
    <row r="114">
      <c r="A114" s="18" t="n"/>
      <c r="B114" s="19" t="n"/>
      <c r="C114" s="23" t="n"/>
      <c r="D114" s="19" t="n"/>
      <c r="E114" s="19" t="n"/>
    </row>
    <row r="115">
      <c r="A115" s="18" t="n"/>
      <c r="B115" s="19" t="n"/>
      <c r="C115" s="23" t="n"/>
      <c r="D115" s="19" t="n"/>
      <c r="E115" s="19" t="n"/>
    </row>
    <row r="116">
      <c r="A116" s="18" t="n"/>
      <c r="B116" s="19" t="n"/>
      <c r="C116" s="23" t="n"/>
      <c r="D116" s="19" t="n"/>
      <c r="E116" s="19" t="n"/>
    </row>
    <row r="117">
      <c r="A117" s="18" t="n"/>
      <c r="B117" s="19" t="n"/>
      <c r="C117" s="23" t="n"/>
      <c r="D117" s="19" t="n"/>
      <c r="E117" s="19" t="n"/>
    </row>
    <row r="118">
      <c r="A118" s="18" t="n"/>
      <c r="B118" s="19" t="n"/>
      <c r="C118" s="23" t="n"/>
      <c r="D118" s="19" t="n"/>
      <c r="E118" s="19" t="n"/>
    </row>
    <row r="119">
      <c r="A119" s="18" t="n"/>
      <c r="B119" s="19" t="n"/>
      <c r="C119" s="23" t="n"/>
      <c r="D119" s="19" t="n"/>
      <c r="E119" s="19" t="n"/>
    </row>
    <row r="120">
      <c r="A120" s="18" t="n"/>
      <c r="B120" s="19" t="n"/>
      <c r="C120" s="23" t="n"/>
      <c r="D120" s="19" t="n"/>
      <c r="E120" s="19" t="n"/>
    </row>
    <row r="121">
      <c r="A121" s="18" t="n"/>
      <c r="B121" s="19" t="n"/>
      <c r="C121" s="23" t="n"/>
      <c r="D121" s="19" t="n"/>
      <c r="E121" s="19" t="n"/>
    </row>
    <row r="122">
      <c r="A122" s="18" t="n"/>
      <c r="B122" s="19" t="n"/>
      <c r="C122" s="23" t="n"/>
      <c r="D122" s="19" t="n"/>
      <c r="E122" s="19" t="n"/>
    </row>
    <row r="123">
      <c r="A123" s="18" t="n"/>
      <c r="B123" s="19" t="n"/>
      <c r="C123" s="23" t="n"/>
      <c r="D123" s="19" t="n"/>
      <c r="E123" s="19" t="n"/>
    </row>
    <row r="124">
      <c r="A124" s="18" t="n"/>
      <c r="B124" s="19" t="n"/>
      <c r="C124" s="23" t="n"/>
      <c r="D124" s="19" t="n"/>
      <c r="E124" s="19" t="n"/>
    </row>
    <row r="125">
      <c r="A125" s="18" t="n"/>
      <c r="B125" s="19" t="n"/>
      <c r="C125" s="23" t="n"/>
      <c r="D125" s="19" t="n"/>
      <c r="E125" s="19" t="n"/>
    </row>
    <row r="126">
      <c r="A126" s="18" t="n"/>
      <c r="B126" s="19" t="n"/>
      <c r="C126" s="23" t="n"/>
      <c r="D126" s="19" t="n"/>
      <c r="E126" s="19" t="n"/>
    </row>
    <row r="127">
      <c r="A127" s="18" t="n"/>
      <c r="B127" s="19" t="n"/>
      <c r="C127" s="23" t="n"/>
      <c r="D127" s="19" t="n"/>
      <c r="E127" s="19" t="n"/>
    </row>
    <row r="128">
      <c r="A128" s="18" t="n"/>
      <c r="B128" s="19" t="n"/>
      <c r="C128" s="23" t="n"/>
      <c r="D128" s="19" t="n"/>
      <c r="E128" s="19" t="n"/>
    </row>
    <row r="129">
      <c r="A129" s="18" t="n"/>
      <c r="B129" s="19" t="n"/>
      <c r="C129" s="23" t="n"/>
      <c r="D129" s="19" t="n"/>
      <c r="E129" s="19" t="n"/>
    </row>
    <row r="130">
      <c r="A130" s="18" t="n"/>
      <c r="B130" s="19" t="n"/>
      <c r="C130" s="23" t="n"/>
      <c r="D130" s="19" t="n"/>
      <c r="E130" s="19" t="n"/>
    </row>
    <row r="131">
      <c r="A131" s="18" t="n"/>
      <c r="B131" s="19" t="n"/>
      <c r="C131" s="23" t="n"/>
      <c r="D131" s="19" t="n"/>
      <c r="E131" s="19" t="n"/>
    </row>
    <row r="132">
      <c r="A132" s="18" t="n"/>
      <c r="B132" s="19" t="n"/>
      <c r="C132" s="23" t="n"/>
      <c r="D132" s="19" t="n"/>
      <c r="E132" s="19" t="n"/>
    </row>
    <row r="133">
      <c r="A133" s="18" t="n"/>
      <c r="B133" s="19" t="n"/>
      <c r="C133" s="23" t="n"/>
      <c r="D133" s="19" t="n"/>
      <c r="E133" s="19" t="n"/>
    </row>
    <row r="134">
      <c r="A134" s="18" t="n"/>
      <c r="B134" s="19" t="n"/>
      <c r="C134" s="23" t="n"/>
      <c r="D134" s="19" t="n"/>
      <c r="E134" s="19" t="n"/>
    </row>
    <row r="135">
      <c r="A135" s="18" t="n"/>
      <c r="B135" s="19" t="n"/>
      <c r="C135" s="23" t="n"/>
      <c r="D135" s="19" t="n"/>
      <c r="E135" s="19" t="n"/>
    </row>
    <row r="136">
      <c r="A136" s="18" t="n"/>
      <c r="B136" s="19" t="n"/>
      <c r="C136" s="23" t="n"/>
      <c r="D136" s="19" t="n"/>
      <c r="E136" s="19" t="n"/>
    </row>
    <row r="137">
      <c r="A137" s="18" t="n"/>
      <c r="B137" s="19" t="n"/>
      <c r="C137" s="23" t="n"/>
      <c r="D137" s="19" t="n"/>
      <c r="E137" s="19" t="n"/>
    </row>
    <row r="138">
      <c r="A138" s="18" t="n"/>
      <c r="B138" s="19" t="n"/>
      <c r="C138" s="23" t="n"/>
      <c r="D138" s="19" t="n"/>
      <c r="E138" s="19" t="n"/>
    </row>
    <row r="139">
      <c r="A139" s="18" t="n"/>
      <c r="B139" s="19" t="n"/>
      <c r="C139" s="23" t="n"/>
      <c r="D139" s="19" t="n"/>
      <c r="E139" s="19" t="n"/>
    </row>
    <row r="140">
      <c r="A140" s="18" t="n"/>
      <c r="B140" s="19" t="n"/>
      <c r="C140" s="23" t="n"/>
      <c r="D140" s="19" t="n"/>
      <c r="E140" s="19" t="n"/>
    </row>
    <row r="141">
      <c r="A141" s="18" t="n"/>
      <c r="B141" s="19" t="n"/>
      <c r="C141" s="23" t="n"/>
      <c r="D141" s="19" t="n"/>
      <c r="E141" s="19" t="n"/>
    </row>
    <row r="142">
      <c r="A142" s="18" t="n"/>
      <c r="B142" s="19" t="n"/>
      <c r="C142" s="23" t="n"/>
      <c r="D142" s="19" t="n"/>
      <c r="E142" s="19" t="n"/>
    </row>
    <row r="143">
      <c r="A143" s="18" t="n"/>
      <c r="B143" s="19" t="n"/>
      <c r="C143" s="23" t="n"/>
      <c r="D143" s="19" t="n"/>
      <c r="E143" s="19" t="n"/>
    </row>
    <row r="144">
      <c r="A144" s="18" t="n"/>
      <c r="B144" s="19" t="n"/>
      <c r="C144" s="23" t="n"/>
      <c r="D144" s="19" t="n"/>
      <c r="E144" s="19" t="n"/>
    </row>
    <row r="145">
      <c r="A145" s="18" t="n"/>
      <c r="B145" s="19" t="n"/>
      <c r="C145" s="23" t="n"/>
      <c r="D145" s="19" t="n"/>
      <c r="E145" s="19" t="n"/>
    </row>
    <row r="146">
      <c r="A146" s="18" t="n"/>
      <c r="B146" s="19" t="n"/>
      <c r="C146" s="23" t="n"/>
      <c r="D146" s="19" t="n"/>
      <c r="E146" s="19" t="n"/>
    </row>
    <row r="147">
      <c r="A147" s="18" t="n"/>
      <c r="B147" s="19" t="n"/>
      <c r="C147" s="23" t="n"/>
      <c r="D147" s="19" t="n"/>
      <c r="E147" s="19" t="n"/>
    </row>
    <row r="148">
      <c r="A148" s="18" t="n"/>
      <c r="B148" s="19" t="n"/>
      <c r="C148" s="23" t="n"/>
      <c r="D148" s="19" t="n"/>
      <c r="E148" s="19" t="n"/>
    </row>
    <row r="149">
      <c r="A149" s="18" t="n"/>
      <c r="B149" s="19" t="n"/>
      <c r="C149" s="23" t="n"/>
      <c r="D149" s="19" t="n"/>
      <c r="E149" s="19" t="n"/>
    </row>
    <row r="150">
      <c r="A150" s="18" t="n"/>
      <c r="B150" s="19" t="n"/>
      <c r="C150" s="23" t="n"/>
      <c r="D150" s="19" t="n"/>
      <c r="E150" s="19" t="n"/>
    </row>
    <row r="151">
      <c r="A151" s="18" t="n"/>
      <c r="B151" s="19" t="n"/>
      <c r="C151" s="23" t="n"/>
      <c r="D151" s="19" t="n"/>
      <c r="E151" s="19" t="n"/>
    </row>
    <row r="152">
      <c r="A152" s="18" t="n"/>
      <c r="B152" s="19" t="n"/>
      <c r="C152" s="23" t="n"/>
      <c r="D152" s="19" t="n"/>
      <c r="E152" s="19" t="n"/>
    </row>
    <row r="153">
      <c r="A153" s="18" t="n"/>
      <c r="B153" s="19" t="n"/>
      <c r="C153" s="23" t="n"/>
      <c r="D153" s="19" t="n"/>
      <c r="E153" s="19" t="n"/>
    </row>
    <row r="154">
      <c r="A154" s="18" t="n"/>
      <c r="B154" s="19" t="n"/>
      <c r="C154" s="23" t="n"/>
      <c r="D154" s="19" t="n"/>
      <c r="E154" s="19" t="n"/>
    </row>
    <row r="155">
      <c r="A155" s="18" t="n"/>
      <c r="B155" s="19" t="n"/>
      <c r="C155" s="23" t="n"/>
      <c r="D155" s="19" t="n"/>
      <c r="E155" s="19" t="n"/>
    </row>
    <row r="156">
      <c r="A156" s="18" t="n"/>
      <c r="B156" s="19" t="n"/>
      <c r="C156" s="23" t="n"/>
      <c r="D156" s="19" t="n"/>
      <c r="E156" s="19" t="n"/>
    </row>
    <row r="157">
      <c r="A157" s="18" t="n"/>
      <c r="B157" s="19" t="n"/>
      <c r="C157" s="23" t="n"/>
      <c r="D157" s="19" t="n"/>
      <c r="E157" s="19" t="n"/>
    </row>
    <row r="158">
      <c r="A158" s="18" t="n"/>
      <c r="B158" s="19" t="n"/>
      <c r="C158" s="23" t="n"/>
      <c r="D158" s="19" t="n"/>
      <c r="E158" s="19" t="n"/>
    </row>
    <row r="159">
      <c r="A159" s="18" t="n"/>
      <c r="B159" s="19" t="n"/>
      <c r="C159" s="23" t="n"/>
      <c r="D159" s="19" t="n"/>
      <c r="E159" s="19" t="n"/>
    </row>
    <row r="160">
      <c r="A160" s="18" t="n"/>
      <c r="B160" s="19" t="n"/>
      <c r="C160" s="23" t="n"/>
      <c r="D160" s="19" t="n"/>
      <c r="E160" s="19" t="n"/>
    </row>
    <row r="161">
      <c r="A161" s="18" t="n"/>
      <c r="B161" s="19" t="n"/>
      <c r="C161" s="23" t="n"/>
      <c r="D161" s="19" t="n"/>
      <c r="E161" s="19" t="n"/>
    </row>
    <row r="162">
      <c r="A162" s="18" t="n"/>
      <c r="B162" s="19" t="n"/>
      <c r="C162" s="23" t="n"/>
      <c r="D162" s="19" t="n"/>
      <c r="E162" s="19" t="n"/>
    </row>
    <row r="163">
      <c r="A163" s="18" t="n"/>
      <c r="B163" s="19" t="n"/>
      <c r="C163" s="23" t="n"/>
      <c r="D163" s="19" t="n"/>
      <c r="E163" s="19" t="n"/>
    </row>
    <row r="164">
      <c r="A164" s="18" t="n"/>
      <c r="B164" s="19" t="n"/>
      <c r="C164" s="23" t="n"/>
      <c r="D164" s="19" t="n"/>
      <c r="E164" s="19" t="n"/>
    </row>
    <row r="165">
      <c r="A165" s="18" t="n"/>
      <c r="B165" s="19" t="n"/>
      <c r="C165" s="23" t="n"/>
      <c r="D165" s="19" t="n"/>
      <c r="E165" s="19" t="n"/>
    </row>
    <row r="166">
      <c r="A166" s="18" t="n"/>
      <c r="B166" s="19" t="n"/>
      <c r="C166" s="23" t="n"/>
      <c r="D166" s="19" t="n"/>
      <c r="E166" s="19" t="n"/>
    </row>
    <row r="167">
      <c r="A167" s="18" t="n"/>
      <c r="B167" s="19" t="n"/>
      <c r="C167" s="23" t="n"/>
      <c r="D167" s="19" t="n"/>
      <c r="E167" s="19" t="n"/>
    </row>
    <row r="168">
      <c r="A168" s="18" t="n"/>
      <c r="B168" s="19" t="n"/>
      <c r="C168" s="23" t="n"/>
      <c r="D168" s="19" t="n"/>
      <c r="E168" s="19" t="n"/>
    </row>
    <row r="169">
      <c r="A169" s="18" t="n"/>
      <c r="B169" s="19" t="n"/>
      <c r="C169" s="23" t="n"/>
      <c r="D169" s="19" t="n"/>
      <c r="E169" s="19" t="n"/>
    </row>
    <row r="170">
      <c r="A170" s="18" t="n"/>
      <c r="B170" s="19" t="n"/>
      <c r="C170" s="23" t="n"/>
      <c r="D170" s="19" t="n"/>
      <c r="E170" s="19" t="n"/>
    </row>
    <row r="171">
      <c r="A171" s="18" t="n"/>
      <c r="B171" s="19" t="n"/>
      <c r="C171" s="23" t="n"/>
      <c r="D171" s="19" t="n"/>
      <c r="E171" s="19" t="n"/>
    </row>
    <row r="172">
      <c r="A172" s="18" t="n"/>
      <c r="B172" s="19" t="n"/>
      <c r="C172" s="23" t="n"/>
      <c r="D172" s="19" t="n"/>
      <c r="E172" s="19" t="n"/>
    </row>
    <row r="173">
      <c r="A173" s="18" t="n"/>
      <c r="B173" s="19" t="n"/>
      <c r="C173" s="23" t="n"/>
      <c r="D173" s="19" t="n"/>
      <c r="E173" s="19" t="n"/>
    </row>
    <row r="174">
      <c r="A174" s="18" t="n"/>
      <c r="B174" s="19" t="n"/>
      <c r="C174" s="23" t="n"/>
      <c r="D174" s="19" t="n"/>
      <c r="E174" s="19" t="n"/>
    </row>
    <row r="175">
      <c r="A175" s="18" t="n"/>
      <c r="B175" s="19" t="n"/>
      <c r="C175" s="23" t="n"/>
      <c r="D175" s="19" t="n"/>
      <c r="E175" s="19" t="n"/>
    </row>
    <row r="176">
      <c r="A176" s="18" t="n"/>
      <c r="B176" s="19" t="n"/>
      <c r="C176" s="23" t="n"/>
      <c r="D176" s="19" t="n"/>
      <c r="E176" s="19" t="n"/>
    </row>
    <row r="177">
      <c r="A177" s="18" t="n"/>
      <c r="B177" s="19" t="n"/>
      <c r="C177" s="23" t="n"/>
      <c r="D177" s="19" t="n"/>
      <c r="E177" s="19" t="n"/>
    </row>
    <row r="178">
      <c r="A178" s="18" t="n"/>
      <c r="B178" s="19" t="n"/>
      <c r="C178" s="23" t="n"/>
      <c r="D178" s="19" t="n"/>
      <c r="E178" s="19" t="n"/>
    </row>
    <row r="179">
      <c r="A179" s="18" t="n"/>
      <c r="B179" s="19" t="n"/>
      <c r="C179" s="23" t="n"/>
      <c r="D179" s="19" t="n"/>
      <c r="E179" s="19" t="n"/>
    </row>
    <row r="180">
      <c r="A180" s="18" t="n"/>
      <c r="B180" s="19" t="n"/>
      <c r="C180" s="23" t="n"/>
      <c r="D180" s="19" t="n"/>
      <c r="E180" s="19" t="n"/>
    </row>
    <row r="181">
      <c r="A181" s="18" t="n"/>
      <c r="B181" s="19" t="n"/>
      <c r="C181" s="23" t="n"/>
      <c r="D181" s="19" t="n"/>
      <c r="E181" s="19" t="n"/>
    </row>
    <row r="182">
      <c r="A182" s="18" t="n"/>
      <c r="B182" s="19" t="n"/>
      <c r="C182" s="23" t="n"/>
      <c r="D182" s="19" t="n"/>
      <c r="E182" s="19" t="n"/>
    </row>
    <row r="183">
      <c r="A183" s="18" t="n"/>
      <c r="B183" s="19" t="n"/>
      <c r="C183" s="23" t="n"/>
      <c r="D183" s="19" t="n"/>
      <c r="E183" s="19" t="n"/>
    </row>
    <row r="184">
      <c r="A184" s="18" t="n"/>
      <c r="B184" s="19" t="n"/>
      <c r="C184" s="23" t="n"/>
      <c r="D184" s="19" t="n"/>
      <c r="E184" s="19" t="n"/>
    </row>
    <row r="185">
      <c r="A185" s="18" t="n"/>
      <c r="B185" s="19" t="n"/>
      <c r="C185" s="23" t="n"/>
      <c r="D185" s="19" t="n"/>
      <c r="E185" s="19" t="n"/>
    </row>
    <row r="186">
      <c r="A186" s="18" t="n"/>
      <c r="B186" s="19" t="n"/>
      <c r="C186" s="23" t="n"/>
      <c r="D186" s="19" t="n"/>
      <c r="E186" s="19" t="n"/>
    </row>
    <row r="187">
      <c r="A187" s="18" t="n"/>
      <c r="B187" s="19" t="n"/>
      <c r="C187" s="23" t="n"/>
      <c r="D187" s="19" t="n"/>
      <c r="E187" s="19" t="n"/>
    </row>
    <row r="188">
      <c r="A188" s="18" t="n"/>
      <c r="B188" s="19" t="n"/>
      <c r="C188" s="23" t="n"/>
      <c r="D188" s="19" t="n"/>
      <c r="E188" s="19" t="n"/>
    </row>
    <row r="189">
      <c r="A189" s="18" t="n"/>
      <c r="B189" s="19" t="n"/>
      <c r="C189" s="23" t="n"/>
      <c r="D189" s="19" t="n"/>
      <c r="E189" s="19" t="n"/>
    </row>
    <row r="190">
      <c r="A190" s="18" t="n"/>
      <c r="B190" s="19" t="n"/>
      <c r="C190" s="23" t="n"/>
      <c r="D190" s="19" t="n"/>
      <c r="E190" s="19" t="n"/>
    </row>
    <row r="191">
      <c r="A191" s="18" t="n"/>
      <c r="B191" s="19" t="n"/>
      <c r="C191" s="23" t="n"/>
      <c r="D191" s="19" t="n"/>
      <c r="E191" s="19" t="n"/>
    </row>
    <row r="192">
      <c r="A192" s="18" t="n"/>
      <c r="B192" s="19" t="n"/>
      <c r="C192" s="23" t="n"/>
      <c r="D192" s="19" t="n"/>
      <c r="E192" s="19" t="n"/>
    </row>
    <row r="193">
      <c r="A193" s="18" t="n"/>
      <c r="B193" s="19" t="n"/>
      <c r="C193" s="23" t="n"/>
      <c r="D193" s="19" t="n"/>
      <c r="E193" s="19" t="n"/>
    </row>
    <row r="194">
      <c r="A194" s="18" t="n"/>
      <c r="B194" s="19" t="n"/>
      <c r="C194" s="23" t="n"/>
      <c r="D194" s="19" t="n"/>
      <c r="E194" s="19" t="n"/>
    </row>
    <row r="195">
      <c r="A195" s="18" t="n"/>
      <c r="B195" s="19" t="n"/>
      <c r="C195" s="23" t="n"/>
      <c r="D195" s="19" t="n"/>
      <c r="E195" s="19" t="n"/>
    </row>
    <row r="196">
      <c r="A196" s="18" t="n"/>
      <c r="B196" s="19" t="n"/>
      <c r="C196" s="23" t="n"/>
      <c r="D196" s="19" t="n"/>
      <c r="E196" s="19" t="n"/>
    </row>
    <row r="197">
      <c r="A197" s="18" t="n"/>
      <c r="B197" s="19" t="n"/>
      <c r="C197" s="23" t="n"/>
      <c r="D197" s="19" t="n"/>
      <c r="E197" s="19" t="n"/>
    </row>
    <row r="198">
      <c r="A198" s="18" t="n"/>
      <c r="B198" s="19" t="n"/>
      <c r="C198" s="23" t="n"/>
      <c r="D198" s="19" t="n"/>
      <c r="E198" s="19" t="n"/>
    </row>
    <row r="199">
      <c r="A199" s="18" t="n"/>
      <c r="B199" s="19" t="n"/>
      <c r="C199" s="23" t="n"/>
      <c r="D199" s="19" t="n"/>
      <c r="E199" s="19" t="n"/>
    </row>
    <row r="200">
      <c r="A200" s="18" t="n"/>
      <c r="B200" s="19" t="n"/>
      <c r="C200" s="23" t="n"/>
      <c r="D200" s="19" t="n"/>
      <c r="E200" s="19" t="n"/>
    </row>
    <row r="201">
      <c r="A201" s="18" t="n"/>
      <c r="B201" s="19" t="n"/>
      <c r="C201" s="23" t="n"/>
      <c r="D201" s="19" t="n"/>
      <c r="E201" s="19" t="n"/>
    </row>
    <row r="202">
      <c r="A202" s="18" t="n"/>
      <c r="B202" s="19" t="n"/>
      <c r="C202" s="23" t="n"/>
      <c r="D202" s="19" t="n"/>
      <c r="E202" s="19" t="n"/>
    </row>
    <row r="203">
      <c r="A203" s="18" t="n"/>
      <c r="B203" s="19" t="n"/>
      <c r="C203" s="23" t="n"/>
      <c r="D203" s="19" t="n"/>
      <c r="E203" s="19" t="n"/>
    </row>
    <row r="204">
      <c r="A204" s="18" t="n"/>
      <c r="B204" s="19" t="n"/>
      <c r="C204" s="23" t="n"/>
      <c r="D204" s="19" t="n"/>
      <c r="E204" s="19" t="n"/>
    </row>
    <row r="205">
      <c r="A205" s="18" t="n"/>
      <c r="B205" s="19" t="n"/>
      <c r="C205" s="23" t="n"/>
      <c r="D205" s="19" t="n"/>
      <c r="E205" s="19" t="n"/>
    </row>
    <row r="206">
      <c r="A206" s="18" t="n"/>
      <c r="B206" s="19" t="n"/>
      <c r="C206" s="23" t="n"/>
      <c r="D206" s="19" t="n"/>
      <c r="E206" s="19" t="n"/>
    </row>
    <row r="207">
      <c r="A207" s="18" t="n"/>
      <c r="B207" s="19" t="n"/>
      <c r="C207" s="23" t="n"/>
      <c r="D207" s="19" t="n"/>
      <c r="E207" s="19" t="n"/>
    </row>
    <row r="208">
      <c r="A208" s="18" t="n"/>
      <c r="B208" s="19" t="n"/>
      <c r="C208" s="23" t="n"/>
      <c r="D208" s="19" t="n"/>
      <c r="E208" s="19" t="n"/>
    </row>
    <row r="209">
      <c r="A209" s="18" t="n"/>
      <c r="B209" s="19" t="n"/>
      <c r="C209" s="23" t="n"/>
      <c r="D209" s="19" t="n"/>
      <c r="E209" s="19" t="n"/>
    </row>
    <row r="210">
      <c r="A210" s="18" t="n"/>
      <c r="B210" s="19" t="n"/>
      <c r="C210" s="23" t="n"/>
      <c r="D210" s="19" t="n"/>
      <c r="E210" s="19" t="n"/>
    </row>
    <row r="211">
      <c r="A211" s="18" t="n"/>
      <c r="B211" s="19" t="n"/>
      <c r="C211" s="23" t="n"/>
      <c r="D211" s="19" t="n"/>
      <c r="E211" s="19" t="n"/>
    </row>
    <row r="212">
      <c r="A212" s="18" t="n"/>
      <c r="B212" s="19" t="n"/>
      <c r="C212" s="23" t="n"/>
      <c r="D212" s="19" t="n"/>
      <c r="E212" s="19" t="n"/>
    </row>
    <row r="213">
      <c r="A213" s="18" t="n"/>
      <c r="B213" s="19" t="n"/>
      <c r="C213" s="23" t="n"/>
      <c r="D213" s="19" t="n"/>
      <c r="E213" s="19" t="n"/>
    </row>
    <row r="214">
      <c r="A214" s="18" t="n"/>
      <c r="B214" s="19" t="n"/>
      <c r="C214" s="23" t="n"/>
      <c r="D214" s="19" t="n"/>
      <c r="E214" s="19" t="n"/>
    </row>
    <row r="215">
      <c r="A215" s="18" t="n"/>
      <c r="B215" s="19" t="n"/>
      <c r="C215" s="23" t="n"/>
      <c r="D215" s="19" t="n"/>
      <c r="E215" s="19" t="n"/>
    </row>
    <row r="216">
      <c r="A216" s="18" t="n"/>
      <c r="B216" s="19" t="n"/>
      <c r="C216" s="23" t="n"/>
      <c r="D216" s="19" t="n"/>
      <c r="E216" s="19" t="n"/>
    </row>
    <row r="217">
      <c r="A217" s="18" t="n"/>
      <c r="B217" s="19" t="n"/>
      <c r="C217" s="23" t="n"/>
      <c r="D217" s="19" t="n"/>
      <c r="E217" s="19" t="n"/>
    </row>
    <row r="218">
      <c r="A218" s="18" t="n"/>
      <c r="B218" s="19" t="n"/>
      <c r="C218" s="23" t="n"/>
      <c r="D218" s="19" t="n"/>
      <c r="E218" s="19" t="n"/>
    </row>
    <row r="219">
      <c r="A219" s="18" t="n"/>
      <c r="B219" s="19" t="n"/>
      <c r="C219" s="23" t="n"/>
      <c r="D219" s="19" t="n"/>
      <c r="E219" s="19" t="n"/>
    </row>
    <row r="220">
      <c r="A220" s="18" t="n"/>
      <c r="B220" s="19" t="n"/>
      <c r="C220" s="23" t="n"/>
      <c r="D220" s="19" t="n"/>
      <c r="E220" s="19" t="n"/>
    </row>
    <row r="221">
      <c r="A221" s="18" t="n"/>
      <c r="B221" s="19" t="n"/>
      <c r="C221" s="23" t="n"/>
      <c r="D221" s="19" t="n"/>
      <c r="E221" s="19" t="n"/>
    </row>
    <row r="222">
      <c r="A222" s="18" t="n"/>
      <c r="B222" s="19" t="n"/>
      <c r="C222" s="23" t="n"/>
      <c r="D222" s="19" t="n"/>
      <c r="E222" s="19" t="n"/>
    </row>
    <row r="223">
      <c r="A223" s="18" t="n"/>
      <c r="B223" s="19" t="n"/>
      <c r="C223" s="23" t="n"/>
      <c r="D223" s="19" t="n"/>
      <c r="E223" s="19" t="n"/>
    </row>
    <row r="224">
      <c r="A224" s="18" t="n"/>
      <c r="B224" s="19" t="n"/>
      <c r="C224" s="23" t="n"/>
      <c r="D224" s="19" t="n"/>
      <c r="E224" s="19" t="n"/>
    </row>
    <row r="225">
      <c r="A225" s="18" t="n"/>
      <c r="B225" s="19" t="n"/>
      <c r="C225" s="23" t="n"/>
      <c r="D225" s="19" t="n"/>
      <c r="E225" s="19" t="n"/>
    </row>
    <row r="226">
      <c r="A226" s="18" t="n"/>
      <c r="B226" s="19" t="n"/>
      <c r="C226" s="23" t="n"/>
      <c r="D226" s="19" t="n"/>
      <c r="E226" s="19" t="n"/>
    </row>
    <row r="227">
      <c r="A227" s="18" t="n"/>
      <c r="B227" s="19" t="n"/>
      <c r="C227" s="23" t="n"/>
      <c r="D227" s="19" t="n"/>
      <c r="E227" s="19" t="n"/>
    </row>
    <row r="228">
      <c r="A228" s="18" t="n"/>
      <c r="B228" s="19" t="n"/>
      <c r="C228" s="23" t="n"/>
      <c r="D228" s="19" t="n"/>
      <c r="E228" s="19" t="n"/>
    </row>
    <row r="229">
      <c r="A229" s="18" t="n"/>
      <c r="B229" s="19" t="n"/>
      <c r="C229" s="23" t="n"/>
      <c r="D229" s="19" t="n"/>
      <c r="E229" s="19" t="n"/>
    </row>
    <row r="230">
      <c r="A230" s="18" t="n"/>
      <c r="B230" s="19" t="n"/>
      <c r="C230" s="23" t="n"/>
      <c r="D230" s="19" t="n"/>
      <c r="E230" s="19" t="n"/>
    </row>
    <row r="231">
      <c r="A231" s="18" t="n"/>
      <c r="B231" s="19" t="n"/>
      <c r="C231" s="23" t="n"/>
      <c r="D231" s="19" t="n"/>
      <c r="E231" s="19" t="n"/>
    </row>
    <row r="232">
      <c r="A232" s="18" t="n"/>
      <c r="B232" s="19" t="n"/>
      <c r="C232" s="23" t="n"/>
      <c r="D232" s="19" t="n"/>
      <c r="E232" s="19" t="n"/>
    </row>
    <row r="233">
      <c r="A233" s="18" t="n"/>
      <c r="B233" s="19" t="n"/>
      <c r="C233" s="23" t="n"/>
      <c r="D233" s="19" t="n"/>
      <c r="E233" s="19" t="n"/>
    </row>
    <row r="234">
      <c r="A234" s="18" t="n"/>
      <c r="B234" s="19" t="n"/>
      <c r="C234" s="23" t="n"/>
      <c r="D234" s="19" t="n"/>
      <c r="E234" s="19" t="n"/>
    </row>
    <row r="235">
      <c r="A235" s="18" t="n"/>
      <c r="B235" s="19" t="n"/>
      <c r="C235" s="23" t="n"/>
      <c r="D235" s="19" t="n"/>
      <c r="E235" s="19" t="n"/>
    </row>
    <row r="236">
      <c r="A236" s="18" t="n"/>
      <c r="B236" s="19" t="n"/>
      <c r="C236" s="23" t="n"/>
      <c r="D236" s="19" t="n"/>
      <c r="E236" s="19" t="n"/>
    </row>
    <row r="237">
      <c r="A237" s="18" t="n"/>
      <c r="B237" s="19" t="n"/>
      <c r="C237" s="23" t="n"/>
      <c r="D237" s="19" t="n"/>
      <c r="E237" s="19" t="n"/>
    </row>
    <row r="238">
      <c r="A238" s="18" t="n"/>
      <c r="B238" s="19" t="n"/>
      <c r="C238" s="23" t="n"/>
      <c r="D238" s="19" t="n"/>
      <c r="E238" s="19" t="n"/>
    </row>
    <row r="239">
      <c r="A239" s="18" t="n"/>
      <c r="B239" s="19" t="n"/>
      <c r="C239" s="23" t="n"/>
      <c r="D239" s="19" t="n"/>
      <c r="E239" s="19" t="n"/>
    </row>
    <row r="240">
      <c r="A240" s="18" t="n"/>
      <c r="B240" s="19" t="n"/>
      <c r="C240" s="23" t="n"/>
      <c r="D240" s="19" t="n"/>
      <c r="E240" s="19" t="n"/>
    </row>
    <row r="241">
      <c r="A241" s="18" t="n"/>
      <c r="B241" s="19" t="n"/>
      <c r="C241" s="23" t="n"/>
      <c r="D241" s="19" t="n"/>
      <c r="E241" s="19" t="n"/>
    </row>
    <row r="242">
      <c r="A242" s="18" t="n"/>
      <c r="B242" s="19" t="n"/>
      <c r="C242" s="23" t="n"/>
      <c r="D242" s="19" t="n"/>
      <c r="E242" s="19" t="n"/>
    </row>
    <row r="243">
      <c r="A243" s="18" t="n"/>
      <c r="B243" s="19" t="n"/>
      <c r="C243" s="23" t="n"/>
      <c r="D243" s="19" t="n"/>
      <c r="E243" s="19" t="n"/>
    </row>
    <row r="244">
      <c r="A244" s="18" t="n"/>
      <c r="B244" s="19" t="n"/>
      <c r="C244" s="23" t="n"/>
      <c r="D244" s="19" t="n"/>
      <c r="E244" s="19" t="n"/>
    </row>
    <row r="245">
      <c r="A245" s="18" t="n"/>
      <c r="B245" s="19" t="n"/>
      <c r="C245" s="23" t="n"/>
      <c r="D245" s="19" t="n"/>
      <c r="E245" s="19" t="n"/>
    </row>
    <row r="246">
      <c r="A246" s="18" t="n"/>
      <c r="B246" s="19" t="n"/>
      <c r="C246" s="23" t="n"/>
      <c r="D246" s="19" t="n"/>
      <c r="E246" s="19" t="n"/>
    </row>
    <row r="247">
      <c r="A247" s="18" t="n"/>
      <c r="B247" s="19" t="n"/>
      <c r="C247" s="23" t="n"/>
      <c r="D247" s="19" t="n"/>
      <c r="E247" s="19" t="n"/>
    </row>
    <row r="248">
      <c r="A248" s="18" t="n"/>
      <c r="B248" s="19" t="n"/>
      <c r="C248" s="23" t="n"/>
      <c r="D248" s="19" t="n"/>
      <c r="E248" s="19" t="n"/>
    </row>
    <row r="249">
      <c r="A249" s="18" t="n"/>
      <c r="B249" s="19" t="n"/>
      <c r="C249" s="23" t="n"/>
      <c r="D249" s="19" t="n"/>
      <c r="E249" s="19" t="n"/>
    </row>
    <row r="250">
      <c r="A250" s="18" t="n"/>
      <c r="B250" s="19" t="n"/>
      <c r="C250" s="23" t="n"/>
      <c r="D250" s="19" t="n"/>
      <c r="E250" s="19" t="n"/>
    </row>
    <row r="251">
      <c r="A251" s="18" t="n"/>
      <c r="B251" s="19" t="n"/>
      <c r="C251" s="23" t="n"/>
      <c r="D251" s="19" t="n"/>
      <c r="E251" s="19" t="n"/>
    </row>
    <row r="252">
      <c r="A252" s="18" t="n"/>
      <c r="B252" s="19" t="n"/>
      <c r="C252" s="23" t="n"/>
      <c r="D252" s="19" t="n"/>
      <c r="E252" s="19" t="n"/>
    </row>
    <row r="253">
      <c r="A253" s="18" t="n"/>
      <c r="B253" s="19" t="n"/>
      <c r="C253" s="23" t="n"/>
      <c r="D253" s="19" t="n"/>
      <c r="E253" s="19" t="n"/>
    </row>
    <row r="254">
      <c r="A254" s="18" t="n"/>
      <c r="B254" s="19" t="n"/>
      <c r="C254" s="23" t="n"/>
      <c r="D254" s="19" t="n"/>
      <c r="E254" s="19" t="n"/>
    </row>
    <row r="255">
      <c r="A255" s="18" t="n"/>
      <c r="B255" s="19" t="n"/>
      <c r="C255" s="23" t="n"/>
      <c r="D255" s="19" t="n"/>
      <c r="E255" s="19" t="n"/>
    </row>
    <row r="256">
      <c r="A256" s="18" t="n"/>
      <c r="B256" s="19" t="n"/>
      <c r="C256" s="23" t="n"/>
      <c r="D256" s="19" t="n"/>
      <c r="E256" s="19" t="n"/>
    </row>
    <row r="257">
      <c r="A257" s="18" t="n"/>
      <c r="B257" s="19" t="n"/>
      <c r="C257" s="23" t="n"/>
      <c r="D257" s="19" t="n"/>
      <c r="E257" s="19" t="n"/>
    </row>
    <row r="258">
      <c r="A258" s="18" t="n"/>
      <c r="B258" s="19" t="n"/>
      <c r="C258" s="23" t="n"/>
      <c r="D258" s="19" t="n"/>
      <c r="E258" s="19" t="n"/>
    </row>
    <row r="259">
      <c r="A259" s="18" t="n"/>
      <c r="B259" s="19" t="n"/>
      <c r="C259" s="23" t="n"/>
      <c r="D259" s="19" t="n"/>
      <c r="E259" s="19" t="n"/>
    </row>
    <row r="260">
      <c r="A260" s="18" t="n"/>
      <c r="B260" s="19" t="n"/>
      <c r="C260" s="23" t="n"/>
      <c r="D260" s="19" t="n"/>
      <c r="E260" s="19" t="n"/>
    </row>
    <row r="261">
      <c r="A261" s="18" t="n"/>
      <c r="B261" s="19" t="n"/>
      <c r="C261" s="23" t="n"/>
      <c r="D261" s="19" t="n"/>
      <c r="E261" s="19" t="n"/>
    </row>
    <row r="262">
      <c r="A262" s="18" t="n"/>
      <c r="B262" s="19" t="n"/>
      <c r="C262" s="23" t="n"/>
      <c r="D262" s="19" t="n"/>
      <c r="E262" s="19" t="n"/>
    </row>
    <row r="263">
      <c r="A263" s="18" t="n"/>
      <c r="B263" s="19" t="n"/>
      <c r="C263" s="23" t="n"/>
      <c r="D263" s="19" t="n"/>
      <c r="E263" s="19" t="n"/>
    </row>
    <row r="264">
      <c r="A264" s="18" t="n"/>
      <c r="B264" s="19" t="n"/>
      <c r="C264" s="23" t="n"/>
      <c r="D264" s="19" t="n"/>
      <c r="E264" s="19" t="n"/>
    </row>
    <row r="265">
      <c r="A265" s="18" t="n"/>
      <c r="B265" s="19" t="n"/>
      <c r="C265" s="23" t="n"/>
      <c r="D265" s="19" t="n"/>
      <c r="E265" s="19" t="n"/>
    </row>
    <row r="266">
      <c r="A266" s="18" t="n"/>
      <c r="B266" s="19" t="n"/>
      <c r="C266" s="23" t="n"/>
      <c r="D266" s="19" t="n"/>
      <c r="E266" s="19" t="n"/>
    </row>
    <row r="267">
      <c r="A267" s="18" t="n"/>
      <c r="B267" s="19" t="n"/>
      <c r="C267" s="23" t="n"/>
      <c r="D267" s="19" t="n"/>
      <c r="E267" s="19" t="n"/>
    </row>
    <row r="268">
      <c r="A268" s="18" t="n"/>
      <c r="B268" s="19" t="n"/>
      <c r="C268" s="23" t="n"/>
      <c r="D268" s="19" t="n"/>
      <c r="E268" s="19" t="n"/>
    </row>
    <row r="269">
      <c r="A269" s="18" t="n"/>
      <c r="B269" s="19" t="n"/>
      <c r="C269" s="23" t="n"/>
      <c r="D269" s="19" t="n"/>
      <c r="E269" s="19" t="n"/>
    </row>
    <row r="270">
      <c r="A270" s="18" t="n"/>
      <c r="B270" s="19" t="n"/>
      <c r="C270" s="23" t="n"/>
      <c r="D270" s="19" t="n"/>
      <c r="E270" s="19" t="n"/>
    </row>
    <row r="271">
      <c r="A271" s="18" t="n"/>
      <c r="B271" s="19" t="n"/>
      <c r="C271" s="23" t="n"/>
      <c r="D271" s="19" t="n"/>
      <c r="E271" s="19" t="n"/>
    </row>
    <row r="272">
      <c r="A272" s="18" t="n"/>
      <c r="B272" s="19" t="n"/>
      <c r="C272" s="23" t="n"/>
      <c r="D272" s="19" t="n"/>
      <c r="E272" s="19" t="n"/>
    </row>
    <row r="273">
      <c r="A273" s="18" t="n"/>
      <c r="B273" s="19" t="n"/>
      <c r="C273" s="23" t="n"/>
      <c r="D273" s="19" t="n"/>
      <c r="E273" s="19" t="n"/>
    </row>
    <row r="274">
      <c r="A274" s="18" t="n"/>
      <c r="B274" s="19" t="n"/>
      <c r="C274" s="23" t="n"/>
      <c r="D274" s="19" t="n"/>
      <c r="E274" s="19" t="n"/>
    </row>
    <row r="275">
      <c r="A275" s="18" t="n"/>
      <c r="B275" s="19" t="n"/>
      <c r="C275" s="23" t="n"/>
      <c r="D275" s="19" t="n"/>
      <c r="E275" s="19" t="n"/>
    </row>
    <row r="276">
      <c r="A276" s="18" t="n"/>
      <c r="B276" s="19" t="n"/>
      <c r="C276" s="23" t="n"/>
      <c r="D276" s="19" t="n"/>
      <c r="E276" s="19" t="n"/>
    </row>
    <row r="277">
      <c r="A277" s="18" t="n"/>
      <c r="B277" s="19" t="n"/>
      <c r="C277" s="23" t="n"/>
      <c r="D277" s="19" t="n"/>
      <c r="E277" s="19" t="n"/>
    </row>
    <row r="278">
      <c r="A278" s="18" t="n"/>
      <c r="B278" s="19" t="n"/>
      <c r="C278" s="23" t="n"/>
      <c r="D278" s="19" t="n"/>
      <c r="E278" s="19" t="n"/>
    </row>
    <row r="279">
      <c r="A279" s="18" t="n"/>
      <c r="B279" s="19" t="n"/>
      <c r="C279" s="23" t="n"/>
      <c r="D279" s="19" t="n"/>
      <c r="E279" s="19" t="n"/>
    </row>
    <row r="280">
      <c r="A280" s="18" t="n"/>
      <c r="B280" s="19" t="n"/>
      <c r="C280" s="23" t="n"/>
      <c r="D280" s="19" t="n"/>
      <c r="E280" s="19" t="n"/>
    </row>
    <row r="281">
      <c r="A281" s="18" t="n"/>
      <c r="B281" s="19" t="n"/>
      <c r="C281" s="23" t="n"/>
      <c r="D281" s="19" t="n"/>
      <c r="E281" s="19" t="n"/>
    </row>
    <row r="282">
      <c r="A282" s="18" t="n"/>
      <c r="B282" s="19" t="n"/>
      <c r="C282" s="23" t="n"/>
      <c r="D282" s="19" t="n"/>
      <c r="E282" s="19" t="n"/>
    </row>
    <row r="283">
      <c r="A283" s="18" t="n"/>
      <c r="B283" s="19" t="n"/>
      <c r="C283" s="23" t="n"/>
      <c r="D283" s="19" t="n"/>
      <c r="E283" s="19" t="n"/>
    </row>
    <row r="284">
      <c r="A284" s="18" t="n"/>
      <c r="B284" s="19" t="n"/>
      <c r="C284" s="23" t="n"/>
      <c r="D284" s="19" t="n"/>
      <c r="E284" s="19" t="n"/>
    </row>
    <row r="285">
      <c r="A285" s="18" t="n"/>
      <c r="B285" s="19" t="n"/>
      <c r="C285" s="23" t="n"/>
      <c r="D285" s="19" t="n"/>
      <c r="E285" s="19" t="n"/>
    </row>
    <row r="286">
      <c r="A286" s="18" t="n"/>
      <c r="B286" s="19" t="n"/>
      <c r="C286" s="23" t="n"/>
      <c r="D286" s="19" t="n"/>
      <c r="E286" s="19" t="n"/>
    </row>
    <row r="287">
      <c r="A287" s="18" t="n"/>
      <c r="B287" s="19" t="n"/>
      <c r="C287" s="23" t="n"/>
      <c r="D287" s="19" t="n"/>
      <c r="E287" s="19" t="n"/>
    </row>
    <row r="288">
      <c r="A288" s="18" t="n"/>
      <c r="B288" s="19" t="n"/>
      <c r="C288" s="23" t="n"/>
      <c r="D288" s="19" t="n"/>
      <c r="E288" s="19" t="n"/>
    </row>
    <row r="289">
      <c r="A289" s="18" t="n"/>
      <c r="B289" s="19" t="n"/>
      <c r="C289" s="23" t="n"/>
      <c r="D289" s="19" t="n"/>
      <c r="E289" s="19" t="n"/>
    </row>
    <row r="290">
      <c r="A290" s="18" t="n"/>
      <c r="B290" s="19" t="n"/>
      <c r="C290" s="23" t="n"/>
      <c r="D290" s="19" t="n"/>
      <c r="E290" s="19" t="n"/>
    </row>
    <row r="291">
      <c r="A291" s="18" t="n"/>
      <c r="B291" s="19" t="n"/>
      <c r="C291" s="23" t="n"/>
      <c r="D291" s="19" t="n"/>
      <c r="E291" s="19" t="n"/>
    </row>
    <row r="292">
      <c r="A292" s="18" t="n"/>
      <c r="B292" s="19" t="n"/>
      <c r="C292" s="23" t="n"/>
      <c r="D292" s="19" t="n"/>
      <c r="E292" s="19" t="n"/>
    </row>
    <row r="293">
      <c r="A293" s="18" t="n"/>
      <c r="B293" s="19" t="n"/>
      <c r="C293" s="23" t="n"/>
      <c r="D293" s="19" t="n"/>
      <c r="E293" s="19" t="n"/>
    </row>
    <row r="294">
      <c r="A294" s="18" t="n"/>
      <c r="B294" s="19" t="n"/>
      <c r="C294" s="23" t="n"/>
      <c r="D294" s="19" t="n"/>
      <c r="E294" s="19" t="n"/>
    </row>
    <row r="295">
      <c r="A295" s="18" t="n"/>
      <c r="B295" s="19" t="n"/>
      <c r="C295" s="23" t="n"/>
      <c r="D295" s="19" t="n"/>
      <c r="E295" s="19" t="n"/>
    </row>
    <row r="296">
      <c r="A296" s="18" t="n"/>
      <c r="B296" s="19" t="n"/>
      <c r="C296" s="23" t="n"/>
      <c r="D296" s="19" t="n"/>
      <c r="E296" s="19" t="n"/>
    </row>
    <row r="297">
      <c r="A297" s="18" t="n"/>
      <c r="B297" s="19" t="n"/>
      <c r="C297" s="23" t="n"/>
      <c r="D297" s="19" t="n"/>
      <c r="E297" s="19" t="n"/>
    </row>
    <row r="298">
      <c r="A298" s="18" t="n"/>
      <c r="B298" s="19" t="n"/>
      <c r="C298" s="23" t="n"/>
      <c r="D298" s="19" t="n"/>
      <c r="E298" s="19" t="n"/>
    </row>
    <row r="299">
      <c r="A299" s="18" t="n"/>
      <c r="B299" s="19" t="n"/>
      <c r="C299" s="23" t="n"/>
      <c r="D299" s="19" t="n"/>
      <c r="E299" s="19" t="n"/>
    </row>
    <row r="300">
      <c r="A300" s="18" t="n"/>
      <c r="B300" s="19" t="n"/>
      <c r="C300" s="23" t="n"/>
      <c r="D300" s="19" t="n"/>
      <c r="E300" s="19" t="n"/>
    </row>
  </sheetData>
  <mergeCells count="2">
    <mergeCell ref="A2:E2"/>
    <mergeCell ref="B30:E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Parametri e curva del piano</t>
        </is>
      </c>
    </row>
    <row r="2">
      <c r="A2" s="2" t="inlineStr">
        <is>
          <t>Le celle gialle sono i parametri: cambiali se cambia il piano.</t>
        </is>
      </c>
    </row>
    <row r="3">
      <c r="A3" s="3" t="inlineStr">
        <is>
          <t>Obiettivo del fondo (€)</t>
        </is>
      </c>
      <c r="B3" s="25" t="n">
        <v>5000</v>
      </c>
      <c r="C3" s="2" t="inlineStr">
        <is>
          <t>Fondo di emergenza: circa 3 mesi di spese essenziali.</t>
        </is>
      </c>
    </row>
    <row r="4">
      <c r="A4" s="3" t="inlineStr">
        <is>
          <t>Accantonamento buffer al mese (€)</t>
        </is>
      </c>
      <c r="B4" s="25" t="n">
        <v>150</v>
      </c>
      <c r="C4" s="2" t="inlineStr">
        <is>
          <t>Assicurazione, bollo, freni, gomme, revisione.</t>
        </is>
      </c>
    </row>
    <row r="5">
      <c r="A5" s="3" t="inlineStr">
        <is>
          <t>Inizio accantonamento buffer</t>
        </is>
      </c>
      <c r="B5" s="26" t="n">
        <v>46266</v>
      </c>
      <c r="C5" s="2" t="inlineStr">
        <is>
          <t>Primo mese in cui hai messo via i 150 €.</t>
        </is>
      </c>
    </row>
    <row r="7">
      <c r="A7" s="3" t="inlineStr">
        <is>
          <t>Impegni noti, pagati dal conto corrente (non dal fondo)</t>
        </is>
      </c>
    </row>
    <row r="8">
      <c r="C8" s="2" t="inlineStr">
        <is>
          <t>• Assicurazione auto: 467,76 € a inizio ottobre (confermato, vedi foglio Spese).</t>
        </is>
      </c>
    </row>
    <row r="9">
      <c r="C9" s="2" t="inlineStr">
        <is>
          <t>• Lotta Club Seggiano: 50 € a ottobre (iscrizione + primo mese), poi 25 €/mese ricorrenti — è mensile, non semestrale (corretto). Da novembre è un costo fisso ricorrente, non più una spesa una tantum del buffer.</t>
        </is>
      </c>
    </row>
    <row r="10">
      <c r="C10" s="2" t="inlineStr">
        <is>
          <t>• Rimborso 730: 1.481 € netti attesi nov/dic (vedi foglio Entrate). Non ancora nella curva sotto: la aggiungo quando arriva davvero.</t>
        </is>
      </c>
    </row>
    <row r="11">
      <c r="A11" s="3" t="inlineStr">
        <is>
          <t>Data</t>
        </is>
      </c>
      <c r="B11" s="3" t="inlineStr">
        <is>
          <t>Fondo (€)</t>
        </is>
      </c>
      <c r="C11" s="3" t="inlineStr">
        <is>
          <t>Da dove viene</t>
        </is>
      </c>
    </row>
    <row r="12">
      <c r="A12" s="15" t="n">
        <v>46266</v>
      </c>
      <c r="B12" s="16" t="n">
        <v>0</v>
      </c>
      <c r="C12" s="2" t="inlineStr">
        <is>
          <t>Punto di partenza.</t>
        </is>
      </c>
    </row>
    <row r="13">
      <c r="A13" s="15" t="n">
        <v>46285</v>
      </c>
      <c r="B13" s="16" t="n">
        <v>470</v>
      </c>
      <c r="C13" s="2" t="inlineStr">
        <is>
          <t>Saldo reale letto dal foglio Settimane il 20/09.</t>
        </is>
      </c>
    </row>
    <row r="14">
      <c r="A14" s="15" t="n">
        <v>46326</v>
      </c>
      <c r="B14" s="16" t="n">
        <v>1020</v>
      </c>
      <c r="C14" s="2" t="inlineStr">
        <is>
          <t>470 + 550 € versati a ottobre (deciso il 20/09). Assicurazione e lotta escono dal conto corrente, non dal fondo: non riducono questo numero.</t>
        </is>
      </c>
    </row>
    <row r="16" ht="50" customHeight="1">
      <c r="A16" s="3" t="inlineStr">
        <is>
          <t>Da novembre in poi</t>
        </is>
      </c>
      <c r="C16" s="9" t="inlineStr">
        <is>
          <t>Non ancora stimato: manca la conferma se il tuo stipendio netto "a regime" e i 250 € di tuo padre sono ricorrenti o solo di ottobre, e quando arriva davvero il rimborso 730. Appena hai il primo dato reale di novembre (foglio Settimane), aggiungo il punto qui invece di indovinarlo adesso.</t>
        </is>
      </c>
    </row>
    <row r="18" ht="40" customHeight="1">
      <c r="A18" s="3" t="inlineStr">
        <is>
          <t>Fonte dei numeri</t>
        </is>
      </c>
      <c r="C18" s="9" t="inlineStr">
        <is>
          <t>Piano concordato il 13/09/2026. Curva rifatta il 20/09/2026 dopo un errore: la versione precedente non era stata ricalcolata con i costi reali di caldaia, assicurazione e lotta, e contava la lotta come rata mensile mentre è un pagamento semestrale unico.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2026-09-29T07:11:00Z</dcterms:created>
  <dcterms:modified xsi:type="dcterms:W3CDTF">2026-09-29T07:11:00Z</dcterms:modified>
</cp:coreProperties>
</file>