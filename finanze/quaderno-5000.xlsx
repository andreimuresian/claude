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scotto" sheetId="1" state="visible" r:id="rId1"/>
    <sheet name="Settimane" sheetId="2" state="visible" r:id="rId2"/>
    <sheet name="Spese" sheetId="3" state="visible" r:id="rId3"/>
    <sheet name="Pian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&quot; €&quot;;(#,##0)&quot; €&quot;;&quot;–&quot;"/>
  </numFmts>
  <fonts count="8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i val="1"/>
      <color rgb="000000FF"/>
      <sz val="11"/>
    </font>
    <font>
      <name val="Arial"/>
      <sz val="11"/>
    </font>
    <font>
      <name val="Arial"/>
      <color rgb="000000FF"/>
      <sz val="11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0E6E5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1" fontId="5" fillId="0" borderId="1" pivotButton="0" quotePrefix="0" xfId="0"/>
    <xf numFmtId="165" fontId="5" fillId="0" borderId="1" pivotButton="0" quotePrefix="0" xfId="0"/>
    <xf numFmtId="166" fontId="7" fillId="0" borderId="1" pivotButton="0" quotePrefix="0" xfId="0"/>
    <xf numFmtId="166" fontId="5" fillId="0" borderId="1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bottom" wrapText="1"/>
    </xf>
    <xf numFmtId="165" fontId="4" fillId="0" borderId="0" pivotButton="0" quotePrefix="0" xfId="0"/>
    <xf numFmtId="166" fontId="4" fillId="0" borderId="0" pivotButton="0" quotePrefix="0" xfId="0"/>
    <xf numFmtId="0" fontId="4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166" fontId="7" fillId="0" borderId="0" pivotButton="0" quotePrefix="0" xfId="0"/>
    <xf numFmtId="166" fontId="6" fillId="3" borderId="0" pivotButton="0" quotePrefix="0" xfId="0"/>
    <xf numFmtId="165" fontId="6" fillId="3" borderId="0" pivotButton="0" quotePrefix="0" xfId="0"/>
    <xf numFmtId="165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58" customWidth="1" min="3" max="3"/>
  </cols>
  <sheetData>
    <row r="1">
      <c r="A1" s="1" t="inlineStr">
        <is>
          <t>Come stai andando</t>
        </is>
      </c>
    </row>
    <row r="2">
      <c r="A2" s="2" t="inlineStr">
        <is>
          <t>Tutto qui dentro si calcola dai fogli Settimane e Spese. Non c'è niente da scrivere.</t>
        </is>
      </c>
    </row>
    <row r="4">
      <c r="A4" s="3" t="inlineStr">
        <is>
          <t>Settimane registrate</t>
        </is>
      </c>
      <c r="B4" s="4">
        <f>COUNT(Settimane!$A$4:$A$203)</f>
        <v/>
      </c>
      <c r="C4" s="2" t="inlineStr">
        <is>
          <t>Quante domeniche hai chiuso.</t>
        </is>
      </c>
    </row>
    <row r="5">
      <c r="A5" s="3" t="inlineStr">
        <is>
          <t>Ultima domenica chiusa</t>
        </is>
      </c>
      <c r="B5" s="5">
        <f>IF($B$4=0,"",MAX(Settimane!$A$4:$A$203))</f>
        <v/>
      </c>
      <c r="C5" s="2" t="inlineStr">
        <is>
          <t>Se è più vecchia di una settimana, sei in ritardo.</t>
        </is>
      </c>
    </row>
    <row r="6">
      <c r="A6" s="3" t="inlineStr">
        <is>
          <t>Fondo sul conto risparmio</t>
        </is>
      </c>
      <c r="B6" s="6">
        <f>IF($B$4=0,0,INDEX(Settimane!$C$4:$C$203,MATCH(MAX(Settimane!$A$4:$A$203),Settimane!$A$4:$A$203,0)))</f>
        <v/>
      </c>
      <c r="C6" s="2" t="inlineStr">
        <is>
          <t>L'ultimo saldo che hai registrato.</t>
        </is>
      </c>
    </row>
    <row r="7">
      <c r="A7" s="3" t="inlineStr">
        <is>
          <t>Obiettivo</t>
        </is>
      </c>
      <c r="B7" s="7">
        <f>Piano!$B$3</f>
        <v/>
      </c>
      <c r="C7" s="2" t="inlineStr">
        <is>
          <t>Il traguardo.</t>
        </is>
      </c>
    </row>
    <row r="8">
      <c r="A8" s="3" t="inlineStr">
        <is>
          <t>Mancano al traguardo</t>
        </is>
      </c>
      <c r="B8" s="7">
        <f>MAX(0,$B$7-$B$6)</f>
        <v/>
      </c>
      <c r="C8" s="2" t="inlineStr">
        <is>
          <t>Quanto resta da mettere via.</t>
        </is>
      </c>
    </row>
    <row r="9">
      <c r="A9" s="3" t="inlineStr">
        <is>
          <t>Il piano a quella data</t>
        </is>
      </c>
      <c r="B9" s="7">
        <f>IF($B$4=0,0,INDEX(Settimane!$J$4:$J$203,MATCH(MAX(Settimane!$A$4:$A$203),Settimane!$A$4:$A$203,0)))</f>
        <v/>
      </c>
      <c r="C9" s="2" t="inlineStr">
        <is>
          <t>Dove dovresti essere secondo il piano.</t>
        </is>
      </c>
    </row>
    <row r="10">
      <c r="A10" s="3" t="inlineStr">
        <is>
          <t>Avanti (+) o indietro (−)</t>
        </is>
      </c>
      <c r="B10" s="6">
        <f>$B$6-$B$9</f>
        <v/>
      </c>
      <c r="C10" s="2" t="inlineStr">
        <is>
          <t>Positivo: sei in anticipo. Negativo: recupera.</t>
        </is>
      </c>
    </row>
    <row r="11">
      <c r="A11" s="3" t="inlineStr">
        <is>
          <t>Conto corrente</t>
        </is>
      </c>
      <c r="B11" s="7">
        <f>IF($B$4=0,0,INDEX(Settimane!$B$4:$B$203,MATCH(MAX(Settimane!$A$4:$A$203),Settimane!$A$4:$A$203,0)))</f>
        <v/>
      </c>
      <c r="C11" s="2" t="inlineStr">
        <is>
          <t>L'ultimo saldo del conto operativo.</t>
        </is>
      </c>
    </row>
    <row r="12">
      <c r="A12" s="3" t="inlineStr">
        <is>
          <t>Buffer accantonato</t>
        </is>
      </c>
      <c r="B12" s="7">
        <f>IF($B$5="",0,Piano!$B$5*MAX(0,(YEAR($B$5)-YEAR(Piano!$B$6))*12+MONTH($B$5)-MONTH(Piano!$B$6)+1))</f>
        <v/>
      </c>
      <c r="C12" s="2" t="inlineStr">
        <is>
          <t>150 € per ogni mese trascorso dall'inizio.</t>
        </is>
      </c>
    </row>
    <row r="13">
      <c r="A13" s="3" t="inlineStr">
        <is>
          <t>Già speso dal buffer</t>
        </is>
      </c>
      <c r="B13" s="7">
        <f>Spese!$C$105</f>
        <v/>
      </c>
      <c r="C13" s="2" t="inlineStr">
        <is>
          <t>Somma del foglio Spese.</t>
        </is>
      </c>
    </row>
    <row r="14">
      <c r="A14" s="3" t="inlineStr">
        <is>
          <t>Buffer disponibile</t>
        </is>
      </c>
      <c r="B14" s="6">
        <f>$B$12-$B$13</f>
        <v/>
      </c>
      <c r="C14" s="2" t="inlineStr">
        <is>
          <t>Se va sotto zero lo sta finanziando il fondo: normale il primo inverno.</t>
        </is>
      </c>
    </row>
    <row r="15">
      <c r="A15" s="3" t="inlineStr">
        <is>
          <t>Cassa libera</t>
        </is>
      </c>
      <c r="B15" s="6">
        <f>$B$11-MAX(0,$B$14)</f>
        <v/>
      </c>
      <c r="C15" s="2" t="inlineStr">
        <is>
          <t>Sul conto corrente, tolto il buffer. È quello che puoi spendere davvero.</t>
        </is>
      </c>
    </row>
    <row r="16">
      <c r="A16" s="3" t="inlineStr">
        <is>
          <t>Speso l'ultima settimana</t>
        </is>
      </c>
      <c r="B16" s="7">
        <f>IF($B$4&lt;2,"",INDEX(Settimane!$H$4:$H$203,MATCH(MAX(Settimane!$A$4:$A$203),Settimane!$A$4:$A$203,0)))</f>
        <v/>
      </c>
      <c r="C16" s="2" t="inlineStr">
        <is>
          <t>Calcolato dai saldi, non dagli scontrini.</t>
        </is>
      </c>
    </row>
    <row r="17">
      <c r="A17" s="3" t="inlineStr">
        <is>
          <t>Media delle ultime 4 settimane</t>
        </is>
      </c>
      <c r="B17" s="6">
        <f>IFERROR(AVERAGEIFS(Settimane!$H$4:$H$203,Settimane!$A$4:$A$203,"&gt;="&amp;($B$5-21),Settimane!$A$4:$A$203,"&lt;="&amp;$B$5),"")</f>
        <v/>
      </c>
      <c r="C17" s="2" t="inlineStr">
        <is>
          <t>Il numero da guardare: una settimana storta non vuol dire niente.</t>
        </is>
      </c>
    </row>
    <row r="18">
      <c r="A18" s="3" t="inlineStr">
        <is>
          <t>Budget settimanale</t>
        </is>
      </c>
      <c r="B18" s="7">
        <f>Piano!$B$4</f>
        <v/>
      </c>
      <c r="C18" s="2" t="inlineStr">
        <is>
          <t>Il ritmo di piano.</t>
        </is>
      </c>
    </row>
    <row r="19">
      <c r="A19" s="3" t="inlineStr">
        <is>
          <t>Scarto sul ritmo</t>
        </is>
      </c>
      <c r="B19" s="7">
        <f>IF($B$16="","",$B$16-$B$18)</f>
        <v/>
      </c>
      <c r="C19" s="2" t="inlineStr">
        <is>
          <t>Negativo è buono: stai spendendo meno del previsto.</t>
        </is>
      </c>
    </row>
    <row r="22">
      <c r="A22" s="3" t="inlineStr">
        <is>
          <t>Come si usa</t>
        </is>
      </c>
    </row>
    <row r="23">
      <c r="A23" s="3" t="inlineStr">
        <is>
          <t>1.</t>
        </is>
      </c>
      <c r="C23" s="8" t="inlineStr">
        <is>
          <t>Domenica sera apri l'app della banca e leggi i due saldi.</t>
        </is>
      </c>
    </row>
    <row r="24">
      <c r="A24" s="3" t="inlineStr">
        <is>
          <t>2.</t>
        </is>
      </c>
      <c r="C24" s="8" t="inlineStr">
        <is>
          <t>Vai sul foglio Settimane, prima riga vuota, e scrivi data e saldi (le celle blu).</t>
        </is>
      </c>
    </row>
    <row r="25">
      <c r="A25" s="3" t="inlineStr">
        <is>
          <t>3.</t>
        </is>
      </c>
      <c r="C25" s="8" t="inlineStr">
        <is>
          <t>Se in settimana è entrato qualcosa — stipendio, ripetizioni, i soldi dei tuoi — scrivilo in «Entrate».</t>
        </is>
      </c>
    </row>
    <row r="26">
      <c r="A26" s="3" t="inlineStr">
        <is>
          <t>4.</t>
        </is>
      </c>
      <c r="C26" s="8" t="inlineStr">
        <is>
          <t>Se hai pagato affitto, bollette o una spesa annuale, scrivilo in «Uscite grosse».</t>
        </is>
      </c>
    </row>
    <row r="27">
      <c r="A27" s="3" t="inlineStr">
        <is>
          <t>5.</t>
        </is>
      </c>
      <c r="C27" s="8" t="inlineStr">
        <is>
          <t>Torna qui. Novanta secondi in tutto.</t>
        </is>
      </c>
    </row>
    <row r="29" ht="58" customHeight="1">
      <c r="A29" s="3" t="inlineStr">
        <is>
          <t>Perché funziona</t>
        </is>
      </c>
      <c r="C29" s="9" t="inlineStr">
        <is>
          <t>Non misura le spese ma il patrimonio: patrimonio di domenica scorsa + entrate − patrimonio di oggi = quanto è uscito, contanti compresi. Per lo stesso motivo il bonifico al conto risparmio non risulta come spesa: sposta i soldi da una tasca all'altra.</t>
        </is>
      </c>
    </row>
    <row r="31">
      <c r="A31" s="3" t="inlineStr">
        <is>
          <t>Legenda</t>
        </is>
      </c>
      <c r="C31" s="2" t="inlineStr">
        <is>
          <t>Blu = celle che scrivi tu.  Nero = formule, non toccarle.  Giallo (foglio Piano) = parametri da rivedere se cambia il piano.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8" customWidth="1" min="3" max="3"/>
    <col width="12" customWidth="1" min="4" max="4"/>
    <col width="16" customWidth="1" min="5" max="5"/>
    <col width="26" customWidth="1" min="6" max="6"/>
    <col width="15" customWidth="1" min="7" max="7"/>
    <col width="20" customWidth="1" min="8" max="8"/>
    <col width="18" customWidth="1" min="9" max="9"/>
    <col width="19" customWidth="1" min="10" max="10"/>
    <col width="17" customWidth="1" min="11" max="11"/>
  </cols>
  <sheetData>
    <row r="1">
      <c r="A1" s="1" t="inlineStr">
        <is>
          <t>Il quaderno dei 5.000 — registro settimanale</t>
        </is>
      </c>
    </row>
    <row r="2" ht="42" customHeight="1">
      <c r="A2" s="9" t="inlineStr">
        <is>
          <t>Ogni domenica scrivi solo le colonne in blu: i due saldi letti dall'app della banca, le entrate della settimana e le uscite grosse (affitto, bollette, spese annuali). Tutto il resto si calcola da solo. Le tre righe in corsivo sono un esempio: cancellale.</t>
        </is>
      </c>
    </row>
    <row r="3" ht="30" customHeight="1">
      <c r="A3" s="10" t="inlineStr">
        <is>
          <t>Domenica</t>
        </is>
      </c>
      <c r="B3" s="10" t="inlineStr">
        <is>
          <t>Conto corrente (€)</t>
        </is>
      </c>
      <c r="C3" s="10" t="inlineStr">
        <is>
          <t>Conto risparmio (€)</t>
        </is>
      </c>
      <c r="D3" s="10" t="inlineStr">
        <is>
          <t>Entrate (€)</t>
        </is>
      </c>
      <c r="E3" s="10" t="inlineStr">
        <is>
          <t>Uscite grosse (€)</t>
        </is>
      </c>
      <c r="F3" s="10" t="inlineStr">
        <is>
          <t>Nota</t>
        </is>
      </c>
      <c r="G3" s="10" t="inlineStr">
        <is>
          <t>Patrimonio (€)</t>
        </is>
      </c>
      <c r="H3" s="10" t="inlineStr">
        <is>
          <t>Speso in settimana (€)</t>
        </is>
      </c>
      <c r="I3" s="10" t="inlineStr">
        <is>
          <t>Scarto vs budget (€)</t>
        </is>
      </c>
      <c r="J3" s="10" t="inlineStr">
        <is>
          <t>Piano a quella data (€)</t>
        </is>
      </c>
      <c r="K3" s="10" t="inlineStr">
        <is>
          <t>Fondo vs piano (€)</t>
        </is>
      </c>
    </row>
    <row r="4">
      <c r="A4" s="11" t="n">
        <v>46264</v>
      </c>
      <c r="B4" s="12" t="n">
        <v>2190</v>
      </c>
      <c r="C4" s="12" t="n">
        <v>0</v>
      </c>
      <c r="D4" s="12" t="n">
        <v>2190</v>
      </c>
      <c r="E4" s="12" t="n">
        <v>0</v>
      </c>
      <c r="F4" s="13" t="inlineStr">
        <is>
          <t>ESEMPIO — stipendio di agosto</t>
        </is>
      </c>
      <c r="G4" s="7">
        <f>IF(NOT(ISNUMBER($A4)),"",$B4+$C4)</f>
        <v/>
      </c>
      <c r="H4" s="7">
        <f>IF(OR(NOT(ISNUMBER($A4)),NOT(ISNUMBER($A3))),"",$G3+$D4-$G4-$E4)</f>
        <v/>
      </c>
      <c r="I4" s="7">
        <f>IF($H4="","",$H4-Piano!$B$4)</f>
        <v/>
      </c>
      <c r="J4" s="7">
        <f>IF(NOT(ISNUMBER($A4)),"",IF($A4&lt;=INDEX(Piano!$A$10:$A$18,1),0,IF($A4&gt;=INDEX(Piano!$A$10:$A$18,9),INDEX(Piano!$B$10:$B$18,9),INDEX(Piano!$B$10:$B$18,MATCH($A4,Piano!$A$10:$A$18,1))+($A4-INDEX(Piano!$A$10:$A$18,MATCH($A4,Piano!$A$10:$A$18,1)))/(INDEX(Piano!$A$10:$A$18,MATCH($A4,Piano!$A$10:$A$18,1)+1)-INDEX(Piano!$A$10:$A$18,MATCH($A4,Piano!$A$10:$A$18,1)))*(INDEX(Piano!$B$10:$B$18,MATCH($A4,Piano!$A$10:$A$18,1)+1)-INDEX(Piano!$B$10:$B$18,MATCH($A4,Piano!$A$10:$A$18,1))))))</f>
        <v/>
      </c>
      <c r="K4" s="7">
        <f>IF($J4="","",$C4-$J4)</f>
        <v/>
      </c>
    </row>
    <row r="5">
      <c r="A5" s="11" t="n">
        <v>46271</v>
      </c>
      <c r="B5" s="12" t="n">
        <v>624</v>
      </c>
      <c r="C5" s="12" t="n">
        <v>446</v>
      </c>
      <c r="D5" s="12" t="n">
        <v>0</v>
      </c>
      <c r="E5" s="12" t="n">
        <v>1000</v>
      </c>
      <c r="F5" s="13" t="inlineStr">
        <is>
          <t>ESEMPIO — affitto</t>
        </is>
      </c>
      <c r="G5" s="7">
        <f>IF(NOT(ISNUMBER($A5)),"",$B5+$C5)</f>
        <v/>
      </c>
      <c r="H5" s="7">
        <f>IF(OR(NOT(ISNUMBER($A5)),NOT(ISNUMBER($A4))),"",$G4+$D5-$G5-$E5)</f>
        <v/>
      </c>
      <c r="I5" s="7">
        <f>IF($H5="","",$H5-Piano!$B$4)</f>
        <v/>
      </c>
      <c r="J5" s="7">
        <f>IF(NOT(ISNUMBER($A5)),"",IF($A5&lt;=INDEX(Piano!$A$10:$A$18,1),0,IF($A5&gt;=INDEX(Piano!$A$10:$A$18,9),INDEX(Piano!$B$10:$B$18,9),INDEX(Piano!$B$10:$B$18,MATCH($A5,Piano!$A$10:$A$18,1))+($A5-INDEX(Piano!$A$10:$A$18,MATCH($A5,Piano!$A$10:$A$18,1)))/(INDEX(Piano!$A$10:$A$18,MATCH($A5,Piano!$A$10:$A$18,1)+1)-INDEX(Piano!$A$10:$A$18,MATCH($A5,Piano!$A$10:$A$18,1)))*(INDEX(Piano!$B$10:$B$18,MATCH($A5,Piano!$A$10:$A$18,1)+1)-INDEX(Piano!$B$10:$B$18,MATCH($A5,Piano!$A$10:$A$18,1))))))</f>
        <v/>
      </c>
      <c r="K5" s="7">
        <f>IF($J5="","",$C5-$J5)</f>
        <v/>
      </c>
    </row>
    <row r="6">
      <c r="A6" s="11" t="n">
        <v>46278</v>
      </c>
      <c r="B6" s="12" t="n">
        <v>479</v>
      </c>
      <c r="C6" s="12" t="n">
        <v>446</v>
      </c>
      <c r="D6" s="12" t="n">
        <v>0</v>
      </c>
      <c r="E6" s="12" t="n">
        <v>0</v>
      </c>
      <c r="F6" s="13" t="inlineStr">
        <is>
          <t>ESEMPIO — cancella queste tre righe</t>
        </is>
      </c>
      <c r="G6" s="7">
        <f>IF(NOT(ISNUMBER($A6)),"",$B6+$C6)</f>
        <v/>
      </c>
      <c r="H6" s="7">
        <f>IF(OR(NOT(ISNUMBER($A6)),NOT(ISNUMBER($A5))),"",$G5+$D6-$G6-$E6)</f>
        <v/>
      </c>
      <c r="I6" s="7">
        <f>IF($H6="","",$H6-Piano!$B$4)</f>
        <v/>
      </c>
      <c r="J6" s="7">
        <f>IF(NOT(ISNUMBER($A6)),"",IF($A6&lt;=INDEX(Piano!$A$10:$A$18,1),0,IF($A6&gt;=INDEX(Piano!$A$10:$A$18,9),INDEX(Piano!$B$10:$B$18,9),INDEX(Piano!$B$10:$B$18,MATCH($A6,Piano!$A$10:$A$18,1))+($A6-INDEX(Piano!$A$10:$A$18,MATCH($A6,Piano!$A$10:$A$18,1)))/(INDEX(Piano!$A$10:$A$18,MATCH($A6,Piano!$A$10:$A$18,1)+1)-INDEX(Piano!$A$10:$A$18,MATCH($A6,Piano!$A$10:$A$18,1)))*(INDEX(Piano!$B$10:$B$18,MATCH($A6,Piano!$A$10:$A$18,1)+1)-INDEX(Piano!$B$10:$B$18,MATCH($A6,Piano!$A$10:$A$18,1))))))</f>
        <v/>
      </c>
      <c r="K6" s="7">
        <f>IF($J6="","",$C6-$J6)</f>
        <v/>
      </c>
    </row>
    <row r="7">
      <c r="A7" s="14" t="n"/>
      <c r="B7" s="15" t="n"/>
      <c r="C7" s="15" t="n"/>
      <c r="D7" s="15" t="n">
        <v>0</v>
      </c>
      <c r="E7" s="15" t="n">
        <v>0</v>
      </c>
      <c r="F7" s="16" t="n"/>
      <c r="G7" s="7">
        <f>IF(NOT(ISNUMBER($A7)),"",$B7+$C7)</f>
        <v/>
      </c>
      <c r="H7" s="7">
        <f>IF(OR(NOT(ISNUMBER($A7)),NOT(ISNUMBER($A6))),"",$G6+$D7-$G7-$E7)</f>
        <v/>
      </c>
      <c r="I7" s="7">
        <f>IF($H7="","",$H7-Piano!$B$4)</f>
        <v/>
      </c>
      <c r="J7" s="7">
        <f>IF(NOT(ISNUMBER($A7)),"",IF($A7&lt;=INDEX(Piano!$A$10:$A$18,1),0,IF($A7&gt;=INDEX(Piano!$A$10:$A$18,9),INDEX(Piano!$B$10:$B$18,9),INDEX(Piano!$B$10:$B$18,MATCH($A7,Piano!$A$10:$A$18,1))+($A7-INDEX(Piano!$A$10:$A$18,MATCH($A7,Piano!$A$10:$A$18,1)))/(INDEX(Piano!$A$10:$A$18,MATCH($A7,Piano!$A$10:$A$18,1)+1)-INDEX(Piano!$A$10:$A$18,MATCH($A7,Piano!$A$10:$A$18,1)))*(INDEX(Piano!$B$10:$B$18,MATCH($A7,Piano!$A$10:$A$18,1)+1)-INDEX(Piano!$B$10:$B$18,MATCH($A7,Piano!$A$10:$A$18,1))))))</f>
        <v/>
      </c>
      <c r="K7" s="7">
        <f>IF($J7="","",$C7-$J7)</f>
        <v/>
      </c>
    </row>
    <row r="8">
      <c r="A8" s="14" t="n"/>
      <c r="B8" s="15" t="n"/>
      <c r="C8" s="15" t="n"/>
      <c r="D8" s="15" t="n">
        <v>0</v>
      </c>
      <c r="E8" s="15" t="n">
        <v>0</v>
      </c>
      <c r="F8" s="16" t="n"/>
      <c r="G8" s="7">
        <f>IF(NOT(ISNUMBER($A8)),"",$B8+$C8)</f>
        <v/>
      </c>
      <c r="H8" s="7">
        <f>IF(OR(NOT(ISNUMBER($A8)),NOT(ISNUMBER($A7))),"",$G7+$D8-$G8-$E8)</f>
        <v/>
      </c>
      <c r="I8" s="7">
        <f>IF($H8="","",$H8-Piano!$B$4)</f>
        <v/>
      </c>
      <c r="J8" s="7">
        <f>IF(NOT(ISNUMBER($A8)),"",IF($A8&lt;=INDEX(Piano!$A$10:$A$18,1),0,IF($A8&gt;=INDEX(Piano!$A$10:$A$18,9),INDEX(Piano!$B$10:$B$18,9),INDEX(Piano!$B$10:$B$18,MATCH($A8,Piano!$A$10:$A$18,1))+($A8-INDEX(Piano!$A$10:$A$18,MATCH($A8,Piano!$A$10:$A$18,1)))/(INDEX(Piano!$A$10:$A$18,MATCH($A8,Piano!$A$10:$A$18,1)+1)-INDEX(Piano!$A$10:$A$18,MATCH($A8,Piano!$A$10:$A$18,1)))*(INDEX(Piano!$B$10:$B$18,MATCH($A8,Piano!$A$10:$A$18,1)+1)-INDEX(Piano!$B$10:$B$18,MATCH($A8,Piano!$A$10:$A$18,1))))))</f>
        <v/>
      </c>
      <c r="K8" s="7">
        <f>IF($J8="","",$C8-$J8)</f>
        <v/>
      </c>
    </row>
    <row r="9">
      <c r="A9" s="14" t="n"/>
      <c r="B9" s="15" t="n"/>
      <c r="C9" s="15" t="n"/>
      <c r="D9" s="15" t="n">
        <v>0</v>
      </c>
      <c r="E9" s="15" t="n">
        <v>0</v>
      </c>
      <c r="F9" s="16" t="n"/>
      <c r="G9" s="7">
        <f>IF(NOT(ISNUMBER($A9)),"",$B9+$C9)</f>
        <v/>
      </c>
      <c r="H9" s="7">
        <f>IF(OR(NOT(ISNUMBER($A9)),NOT(ISNUMBER($A8))),"",$G8+$D9-$G9-$E9)</f>
        <v/>
      </c>
      <c r="I9" s="7">
        <f>IF($H9="","",$H9-Piano!$B$4)</f>
        <v/>
      </c>
      <c r="J9" s="7">
        <f>IF(NOT(ISNUMBER($A9)),"",IF($A9&lt;=INDEX(Piano!$A$10:$A$18,1),0,IF($A9&gt;=INDEX(Piano!$A$10:$A$18,9),INDEX(Piano!$B$10:$B$18,9),INDEX(Piano!$B$10:$B$18,MATCH($A9,Piano!$A$10:$A$18,1))+($A9-INDEX(Piano!$A$10:$A$18,MATCH($A9,Piano!$A$10:$A$18,1)))/(INDEX(Piano!$A$10:$A$18,MATCH($A9,Piano!$A$10:$A$18,1)+1)-INDEX(Piano!$A$10:$A$18,MATCH($A9,Piano!$A$10:$A$18,1)))*(INDEX(Piano!$B$10:$B$18,MATCH($A9,Piano!$A$10:$A$18,1)+1)-INDEX(Piano!$B$10:$B$18,MATCH($A9,Piano!$A$10:$A$18,1))))))</f>
        <v/>
      </c>
      <c r="K9" s="7">
        <f>IF($J9="","",$C9-$J9)</f>
        <v/>
      </c>
    </row>
    <row r="10">
      <c r="A10" s="14" t="n"/>
      <c r="B10" s="15" t="n"/>
      <c r="C10" s="15" t="n"/>
      <c r="D10" s="15" t="n">
        <v>0</v>
      </c>
      <c r="E10" s="15" t="n">
        <v>0</v>
      </c>
      <c r="F10" s="16" t="n"/>
      <c r="G10" s="7">
        <f>IF(NOT(ISNUMBER($A10)),"",$B10+$C10)</f>
        <v/>
      </c>
      <c r="H10" s="7">
        <f>IF(OR(NOT(ISNUMBER($A10)),NOT(ISNUMBER($A9))),"",$G9+$D10-$G10-$E10)</f>
        <v/>
      </c>
      <c r="I10" s="7">
        <f>IF($H10="","",$H10-Piano!$B$4)</f>
        <v/>
      </c>
      <c r="J10" s="7">
        <f>IF(NOT(ISNUMBER($A10)),"",IF($A10&lt;=INDEX(Piano!$A$10:$A$18,1),0,IF($A10&gt;=INDEX(Piano!$A$10:$A$18,9),INDEX(Piano!$B$10:$B$18,9),INDEX(Piano!$B$10:$B$18,MATCH($A10,Piano!$A$10:$A$18,1))+($A10-INDEX(Piano!$A$10:$A$18,MATCH($A10,Piano!$A$10:$A$18,1)))/(INDEX(Piano!$A$10:$A$18,MATCH($A10,Piano!$A$10:$A$18,1)+1)-INDEX(Piano!$A$10:$A$18,MATCH($A10,Piano!$A$10:$A$18,1)))*(INDEX(Piano!$B$10:$B$18,MATCH($A10,Piano!$A$10:$A$18,1)+1)-INDEX(Piano!$B$10:$B$18,MATCH($A10,Piano!$A$10:$A$18,1))))))</f>
        <v/>
      </c>
      <c r="K10" s="7">
        <f>IF($J10="","",$C10-$J10)</f>
        <v/>
      </c>
    </row>
    <row r="11">
      <c r="A11" s="14" t="n"/>
      <c r="B11" s="15" t="n"/>
      <c r="C11" s="15" t="n"/>
      <c r="D11" s="15" t="n">
        <v>0</v>
      </c>
      <c r="E11" s="15" t="n">
        <v>0</v>
      </c>
      <c r="F11" s="16" t="n"/>
      <c r="G11" s="7">
        <f>IF(NOT(ISNUMBER($A11)),"",$B11+$C11)</f>
        <v/>
      </c>
      <c r="H11" s="7">
        <f>IF(OR(NOT(ISNUMBER($A11)),NOT(ISNUMBER($A10))),"",$G10+$D11-$G11-$E11)</f>
        <v/>
      </c>
      <c r="I11" s="7">
        <f>IF($H11="","",$H11-Piano!$B$4)</f>
        <v/>
      </c>
      <c r="J11" s="7">
        <f>IF(NOT(ISNUMBER($A11)),"",IF($A11&lt;=INDEX(Piano!$A$10:$A$18,1),0,IF($A11&gt;=INDEX(Piano!$A$10:$A$18,9),INDEX(Piano!$B$10:$B$18,9),INDEX(Piano!$B$10:$B$18,MATCH($A11,Piano!$A$10:$A$18,1))+($A11-INDEX(Piano!$A$10:$A$18,MATCH($A11,Piano!$A$10:$A$18,1)))/(INDEX(Piano!$A$10:$A$18,MATCH($A11,Piano!$A$10:$A$18,1)+1)-INDEX(Piano!$A$10:$A$18,MATCH($A11,Piano!$A$10:$A$18,1)))*(INDEX(Piano!$B$10:$B$18,MATCH($A11,Piano!$A$10:$A$18,1)+1)-INDEX(Piano!$B$10:$B$18,MATCH($A11,Piano!$A$10:$A$18,1))))))</f>
        <v/>
      </c>
      <c r="K11" s="7">
        <f>IF($J11="","",$C11-$J11)</f>
        <v/>
      </c>
    </row>
    <row r="12">
      <c r="A12" s="14" t="n"/>
      <c r="B12" s="15" t="n"/>
      <c r="C12" s="15" t="n"/>
      <c r="D12" s="15" t="n">
        <v>0</v>
      </c>
      <c r="E12" s="15" t="n">
        <v>0</v>
      </c>
      <c r="F12" s="16" t="n"/>
      <c r="G12" s="7">
        <f>IF(NOT(ISNUMBER($A12)),"",$B12+$C12)</f>
        <v/>
      </c>
      <c r="H12" s="7">
        <f>IF(OR(NOT(ISNUMBER($A12)),NOT(ISNUMBER($A11))),"",$G11+$D12-$G12-$E12)</f>
        <v/>
      </c>
      <c r="I12" s="7">
        <f>IF($H12="","",$H12-Piano!$B$4)</f>
        <v/>
      </c>
      <c r="J12" s="7">
        <f>IF(NOT(ISNUMBER($A12)),"",IF($A12&lt;=INDEX(Piano!$A$10:$A$18,1),0,IF($A12&gt;=INDEX(Piano!$A$10:$A$18,9),INDEX(Piano!$B$10:$B$18,9),INDEX(Piano!$B$10:$B$18,MATCH($A12,Piano!$A$10:$A$18,1))+($A12-INDEX(Piano!$A$10:$A$18,MATCH($A12,Piano!$A$10:$A$18,1)))/(INDEX(Piano!$A$10:$A$18,MATCH($A12,Piano!$A$10:$A$18,1)+1)-INDEX(Piano!$A$10:$A$18,MATCH($A12,Piano!$A$10:$A$18,1)))*(INDEX(Piano!$B$10:$B$18,MATCH($A12,Piano!$A$10:$A$18,1)+1)-INDEX(Piano!$B$10:$B$18,MATCH($A12,Piano!$A$10:$A$18,1))))))</f>
        <v/>
      </c>
      <c r="K12" s="7">
        <f>IF($J12="","",$C12-$J12)</f>
        <v/>
      </c>
    </row>
    <row r="13">
      <c r="A13" s="14" t="n"/>
      <c r="B13" s="15" t="n"/>
      <c r="C13" s="15" t="n"/>
      <c r="D13" s="15" t="n">
        <v>0</v>
      </c>
      <c r="E13" s="15" t="n">
        <v>0</v>
      </c>
      <c r="F13" s="16" t="n"/>
      <c r="G13" s="7">
        <f>IF(NOT(ISNUMBER($A13)),"",$B13+$C13)</f>
        <v/>
      </c>
      <c r="H13" s="7">
        <f>IF(OR(NOT(ISNUMBER($A13)),NOT(ISNUMBER($A12))),"",$G12+$D13-$G13-$E13)</f>
        <v/>
      </c>
      <c r="I13" s="7">
        <f>IF($H13="","",$H13-Piano!$B$4)</f>
        <v/>
      </c>
      <c r="J13" s="7">
        <f>IF(NOT(ISNUMBER($A13)),"",IF($A13&lt;=INDEX(Piano!$A$10:$A$18,1),0,IF($A13&gt;=INDEX(Piano!$A$10:$A$18,9),INDEX(Piano!$B$10:$B$18,9),INDEX(Piano!$B$10:$B$18,MATCH($A13,Piano!$A$10:$A$18,1))+($A13-INDEX(Piano!$A$10:$A$18,MATCH($A13,Piano!$A$10:$A$18,1)))/(INDEX(Piano!$A$10:$A$18,MATCH($A13,Piano!$A$10:$A$18,1)+1)-INDEX(Piano!$A$10:$A$18,MATCH($A13,Piano!$A$10:$A$18,1)))*(INDEX(Piano!$B$10:$B$18,MATCH($A13,Piano!$A$10:$A$18,1)+1)-INDEX(Piano!$B$10:$B$18,MATCH($A13,Piano!$A$10:$A$18,1))))))</f>
        <v/>
      </c>
      <c r="K13" s="7">
        <f>IF($J13="","",$C13-$J13)</f>
        <v/>
      </c>
    </row>
    <row r="14">
      <c r="A14" s="14" t="n"/>
      <c r="B14" s="15" t="n"/>
      <c r="C14" s="15" t="n"/>
      <c r="D14" s="15" t="n">
        <v>0</v>
      </c>
      <c r="E14" s="15" t="n">
        <v>0</v>
      </c>
      <c r="F14" s="16" t="n"/>
      <c r="G14" s="7">
        <f>IF(NOT(ISNUMBER($A14)),"",$B14+$C14)</f>
        <v/>
      </c>
      <c r="H14" s="7">
        <f>IF(OR(NOT(ISNUMBER($A14)),NOT(ISNUMBER($A13))),"",$G13+$D14-$G14-$E14)</f>
        <v/>
      </c>
      <c r="I14" s="7">
        <f>IF($H14="","",$H14-Piano!$B$4)</f>
        <v/>
      </c>
      <c r="J14" s="7">
        <f>IF(NOT(ISNUMBER($A14)),"",IF($A14&lt;=INDEX(Piano!$A$10:$A$18,1),0,IF($A14&gt;=INDEX(Piano!$A$10:$A$18,9),INDEX(Piano!$B$10:$B$18,9),INDEX(Piano!$B$10:$B$18,MATCH($A14,Piano!$A$10:$A$18,1))+($A14-INDEX(Piano!$A$10:$A$18,MATCH($A14,Piano!$A$10:$A$18,1)))/(INDEX(Piano!$A$10:$A$18,MATCH($A14,Piano!$A$10:$A$18,1)+1)-INDEX(Piano!$A$10:$A$18,MATCH($A14,Piano!$A$10:$A$18,1)))*(INDEX(Piano!$B$10:$B$18,MATCH($A14,Piano!$A$10:$A$18,1)+1)-INDEX(Piano!$B$10:$B$18,MATCH($A14,Piano!$A$10:$A$18,1))))))</f>
        <v/>
      </c>
      <c r="K14" s="7">
        <f>IF($J14="","",$C14-$J14)</f>
        <v/>
      </c>
    </row>
    <row r="15">
      <c r="A15" s="14" t="n"/>
      <c r="B15" s="15" t="n"/>
      <c r="C15" s="15" t="n"/>
      <c r="D15" s="15" t="n">
        <v>0</v>
      </c>
      <c r="E15" s="15" t="n">
        <v>0</v>
      </c>
      <c r="F15" s="16" t="n"/>
      <c r="G15" s="7">
        <f>IF(NOT(ISNUMBER($A15)),"",$B15+$C15)</f>
        <v/>
      </c>
      <c r="H15" s="7">
        <f>IF(OR(NOT(ISNUMBER($A15)),NOT(ISNUMBER($A14))),"",$G14+$D15-$G15-$E15)</f>
        <v/>
      </c>
      <c r="I15" s="7">
        <f>IF($H15="","",$H15-Piano!$B$4)</f>
        <v/>
      </c>
      <c r="J15" s="7">
        <f>IF(NOT(ISNUMBER($A15)),"",IF($A15&lt;=INDEX(Piano!$A$10:$A$18,1),0,IF($A15&gt;=INDEX(Piano!$A$10:$A$18,9),INDEX(Piano!$B$10:$B$18,9),INDEX(Piano!$B$10:$B$18,MATCH($A15,Piano!$A$10:$A$18,1))+($A15-INDEX(Piano!$A$10:$A$18,MATCH($A15,Piano!$A$10:$A$18,1)))/(INDEX(Piano!$A$10:$A$18,MATCH($A15,Piano!$A$10:$A$18,1)+1)-INDEX(Piano!$A$10:$A$18,MATCH($A15,Piano!$A$10:$A$18,1)))*(INDEX(Piano!$B$10:$B$18,MATCH($A15,Piano!$A$10:$A$18,1)+1)-INDEX(Piano!$B$10:$B$18,MATCH($A15,Piano!$A$10:$A$18,1))))))</f>
        <v/>
      </c>
      <c r="K15" s="7">
        <f>IF($J15="","",$C15-$J15)</f>
        <v/>
      </c>
    </row>
    <row r="16">
      <c r="A16" s="14" t="n"/>
      <c r="B16" s="15" t="n"/>
      <c r="C16" s="15" t="n"/>
      <c r="D16" s="15" t="n">
        <v>0</v>
      </c>
      <c r="E16" s="15" t="n">
        <v>0</v>
      </c>
      <c r="F16" s="16" t="n"/>
      <c r="G16" s="7">
        <f>IF(NOT(ISNUMBER($A16)),"",$B16+$C16)</f>
        <v/>
      </c>
      <c r="H16" s="7">
        <f>IF(OR(NOT(ISNUMBER($A16)),NOT(ISNUMBER($A15))),"",$G15+$D16-$G16-$E16)</f>
        <v/>
      </c>
      <c r="I16" s="7">
        <f>IF($H16="","",$H16-Piano!$B$4)</f>
        <v/>
      </c>
      <c r="J16" s="7">
        <f>IF(NOT(ISNUMBER($A16)),"",IF($A16&lt;=INDEX(Piano!$A$10:$A$18,1),0,IF($A16&gt;=INDEX(Piano!$A$10:$A$18,9),INDEX(Piano!$B$10:$B$18,9),INDEX(Piano!$B$10:$B$18,MATCH($A16,Piano!$A$10:$A$18,1))+($A16-INDEX(Piano!$A$10:$A$18,MATCH($A16,Piano!$A$10:$A$18,1)))/(INDEX(Piano!$A$10:$A$18,MATCH($A16,Piano!$A$10:$A$18,1)+1)-INDEX(Piano!$A$10:$A$18,MATCH($A16,Piano!$A$10:$A$18,1)))*(INDEX(Piano!$B$10:$B$18,MATCH($A16,Piano!$A$10:$A$18,1)+1)-INDEX(Piano!$B$10:$B$18,MATCH($A16,Piano!$A$10:$A$18,1))))))</f>
        <v/>
      </c>
      <c r="K16" s="7">
        <f>IF($J16="","",$C16-$J16)</f>
        <v/>
      </c>
    </row>
    <row r="17">
      <c r="A17" s="14" t="n"/>
      <c r="B17" s="15" t="n"/>
      <c r="C17" s="15" t="n"/>
      <c r="D17" s="15" t="n">
        <v>0</v>
      </c>
      <c r="E17" s="15" t="n">
        <v>0</v>
      </c>
      <c r="F17" s="16" t="n"/>
      <c r="G17" s="7">
        <f>IF(NOT(ISNUMBER($A17)),"",$B17+$C17)</f>
        <v/>
      </c>
      <c r="H17" s="7">
        <f>IF(OR(NOT(ISNUMBER($A17)),NOT(ISNUMBER($A16))),"",$G16+$D17-$G17-$E17)</f>
        <v/>
      </c>
      <c r="I17" s="7">
        <f>IF($H17="","",$H17-Piano!$B$4)</f>
        <v/>
      </c>
      <c r="J17" s="7">
        <f>IF(NOT(ISNUMBER($A17)),"",IF($A17&lt;=INDEX(Piano!$A$10:$A$18,1),0,IF($A17&gt;=INDEX(Piano!$A$10:$A$18,9),INDEX(Piano!$B$10:$B$18,9),INDEX(Piano!$B$10:$B$18,MATCH($A17,Piano!$A$10:$A$18,1))+($A17-INDEX(Piano!$A$10:$A$18,MATCH($A17,Piano!$A$10:$A$18,1)))/(INDEX(Piano!$A$10:$A$18,MATCH($A17,Piano!$A$10:$A$18,1)+1)-INDEX(Piano!$A$10:$A$18,MATCH($A17,Piano!$A$10:$A$18,1)))*(INDEX(Piano!$B$10:$B$18,MATCH($A17,Piano!$A$10:$A$18,1)+1)-INDEX(Piano!$B$10:$B$18,MATCH($A17,Piano!$A$10:$A$18,1))))))</f>
        <v/>
      </c>
      <c r="K17" s="7">
        <f>IF($J17="","",$C17-$J17)</f>
        <v/>
      </c>
    </row>
    <row r="18">
      <c r="A18" s="14" t="n"/>
      <c r="B18" s="15" t="n"/>
      <c r="C18" s="15" t="n"/>
      <c r="D18" s="15" t="n">
        <v>0</v>
      </c>
      <c r="E18" s="15" t="n">
        <v>0</v>
      </c>
      <c r="F18" s="16" t="n"/>
      <c r="G18" s="7">
        <f>IF(NOT(ISNUMBER($A18)),"",$B18+$C18)</f>
        <v/>
      </c>
      <c r="H18" s="7">
        <f>IF(OR(NOT(ISNUMBER($A18)),NOT(ISNUMBER($A17))),"",$G17+$D18-$G18-$E18)</f>
        <v/>
      </c>
      <c r="I18" s="7">
        <f>IF($H18="","",$H18-Piano!$B$4)</f>
        <v/>
      </c>
      <c r="J18" s="7">
        <f>IF(NOT(ISNUMBER($A18)),"",IF($A18&lt;=INDEX(Piano!$A$10:$A$18,1),0,IF($A18&gt;=INDEX(Piano!$A$10:$A$18,9),INDEX(Piano!$B$10:$B$18,9),INDEX(Piano!$B$10:$B$18,MATCH($A18,Piano!$A$10:$A$18,1))+($A18-INDEX(Piano!$A$10:$A$18,MATCH($A18,Piano!$A$10:$A$18,1)))/(INDEX(Piano!$A$10:$A$18,MATCH($A18,Piano!$A$10:$A$18,1)+1)-INDEX(Piano!$A$10:$A$18,MATCH($A18,Piano!$A$10:$A$18,1)))*(INDEX(Piano!$B$10:$B$18,MATCH($A18,Piano!$A$10:$A$18,1)+1)-INDEX(Piano!$B$10:$B$18,MATCH($A18,Piano!$A$10:$A$18,1))))))</f>
        <v/>
      </c>
      <c r="K18" s="7">
        <f>IF($J18="","",$C18-$J18)</f>
        <v/>
      </c>
    </row>
    <row r="19">
      <c r="A19" s="14" t="n"/>
      <c r="B19" s="15" t="n"/>
      <c r="C19" s="15" t="n"/>
      <c r="D19" s="15" t="n">
        <v>0</v>
      </c>
      <c r="E19" s="15" t="n">
        <v>0</v>
      </c>
      <c r="F19" s="16" t="n"/>
      <c r="G19" s="7">
        <f>IF(NOT(ISNUMBER($A19)),"",$B19+$C19)</f>
        <v/>
      </c>
      <c r="H19" s="7">
        <f>IF(OR(NOT(ISNUMBER($A19)),NOT(ISNUMBER($A18))),"",$G18+$D19-$G19-$E19)</f>
        <v/>
      </c>
      <c r="I19" s="7">
        <f>IF($H19="","",$H19-Piano!$B$4)</f>
        <v/>
      </c>
      <c r="J19" s="7">
        <f>IF(NOT(ISNUMBER($A19)),"",IF($A19&lt;=INDEX(Piano!$A$10:$A$18,1),0,IF($A19&gt;=INDEX(Piano!$A$10:$A$18,9),INDEX(Piano!$B$10:$B$18,9),INDEX(Piano!$B$10:$B$18,MATCH($A19,Piano!$A$10:$A$18,1))+($A19-INDEX(Piano!$A$10:$A$18,MATCH($A19,Piano!$A$10:$A$18,1)))/(INDEX(Piano!$A$10:$A$18,MATCH($A19,Piano!$A$10:$A$18,1)+1)-INDEX(Piano!$A$10:$A$18,MATCH($A19,Piano!$A$10:$A$18,1)))*(INDEX(Piano!$B$10:$B$18,MATCH($A19,Piano!$A$10:$A$18,1)+1)-INDEX(Piano!$B$10:$B$18,MATCH($A19,Piano!$A$10:$A$18,1))))))</f>
        <v/>
      </c>
      <c r="K19" s="7">
        <f>IF($J19="","",$C19-$J19)</f>
        <v/>
      </c>
    </row>
    <row r="20">
      <c r="A20" s="14" t="n"/>
      <c r="B20" s="15" t="n"/>
      <c r="C20" s="15" t="n"/>
      <c r="D20" s="15" t="n">
        <v>0</v>
      </c>
      <c r="E20" s="15" t="n">
        <v>0</v>
      </c>
      <c r="F20" s="16" t="n"/>
      <c r="G20" s="7">
        <f>IF(NOT(ISNUMBER($A20)),"",$B20+$C20)</f>
        <v/>
      </c>
      <c r="H20" s="7">
        <f>IF(OR(NOT(ISNUMBER($A20)),NOT(ISNUMBER($A19))),"",$G19+$D20-$G20-$E20)</f>
        <v/>
      </c>
      <c r="I20" s="7">
        <f>IF($H20="","",$H20-Piano!$B$4)</f>
        <v/>
      </c>
      <c r="J20" s="7">
        <f>IF(NOT(ISNUMBER($A20)),"",IF($A20&lt;=INDEX(Piano!$A$10:$A$18,1),0,IF($A20&gt;=INDEX(Piano!$A$10:$A$18,9),INDEX(Piano!$B$10:$B$18,9),INDEX(Piano!$B$10:$B$18,MATCH($A20,Piano!$A$10:$A$18,1))+($A20-INDEX(Piano!$A$10:$A$18,MATCH($A20,Piano!$A$10:$A$18,1)))/(INDEX(Piano!$A$10:$A$18,MATCH($A20,Piano!$A$10:$A$18,1)+1)-INDEX(Piano!$A$10:$A$18,MATCH($A20,Piano!$A$10:$A$18,1)))*(INDEX(Piano!$B$10:$B$18,MATCH($A20,Piano!$A$10:$A$18,1)+1)-INDEX(Piano!$B$10:$B$18,MATCH($A20,Piano!$A$10:$A$18,1))))))</f>
        <v/>
      </c>
      <c r="K20" s="7">
        <f>IF($J20="","",$C20-$J20)</f>
        <v/>
      </c>
    </row>
    <row r="21">
      <c r="A21" s="14" t="n"/>
      <c r="B21" s="15" t="n"/>
      <c r="C21" s="15" t="n"/>
      <c r="D21" s="15" t="n">
        <v>0</v>
      </c>
      <c r="E21" s="15" t="n">
        <v>0</v>
      </c>
      <c r="F21" s="16" t="n"/>
      <c r="G21" s="7">
        <f>IF(NOT(ISNUMBER($A21)),"",$B21+$C21)</f>
        <v/>
      </c>
      <c r="H21" s="7">
        <f>IF(OR(NOT(ISNUMBER($A21)),NOT(ISNUMBER($A20))),"",$G20+$D21-$G21-$E21)</f>
        <v/>
      </c>
      <c r="I21" s="7">
        <f>IF($H21="","",$H21-Piano!$B$4)</f>
        <v/>
      </c>
      <c r="J21" s="7">
        <f>IF(NOT(ISNUMBER($A21)),"",IF($A21&lt;=INDEX(Piano!$A$10:$A$18,1),0,IF($A21&gt;=INDEX(Piano!$A$10:$A$18,9),INDEX(Piano!$B$10:$B$18,9),INDEX(Piano!$B$10:$B$18,MATCH($A21,Piano!$A$10:$A$18,1))+($A21-INDEX(Piano!$A$10:$A$18,MATCH($A21,Piano!$A$10:$A$18,1)))/(INDEX(Piano!$A$10:$A$18,MATCH($A21,Piano!$A$10:$A$18,1)+1)-INDEX(Piano!$A$10:$A$18,MATCH($A21,Piano!$A$10:$A$18,1)))*(INDEX(Piano!$B$10:$B$18,MATCH($A21,Piano!$A$10:$A$18,1)+1)-INDEX(Piano!$B$10:$B$18,MATCH($A21,Piano!$A$10:$A$18,1))))))</f>
        <v/>
      </c>
      <c r="K21" s="7">
        <f>IF($J21="","",$C21-$J21)</f>
        <v/>
      </c>
    </row>
    <row r="22">
      <c r="A22" s="14" t="n"/>
      <c r="B22" s="15" t="n"/>
      <c r="C22" s="15" t="n"/>
      <c r="D22" s="15" t="n">
        <v>0</v>
      </c>
      <c r="E22" s="15" t="n">
        <v>0</v>
      </c>
      <c r="F22" s="16" t="n"/>
      <c r="G22" s="7">
        <f>IF(NOT(ISNUMBER($A22)),"",$B22+$C22)</f>
        <v/>
      </c>
      <c r="H22" s="7">
        <f>IF(OR(NOT(ISNUMBER($A22)),NOT(ISNUMBER($A21))),"",$G21+$D22-$G22-$E22)</f>
        <v/>
      </c>
      <c r="I22" s="7">
        <f>IF($H22="","",$H22-Piano!$B$4)</f>
        <v/>
      </c>
      <c r="J22" s="7">
        <f>IF(NOT(ISNUMBER($A22)),"",IF($A22&lt;=INDEX(Piano!$A$10:$A$18,1),0,IF($A22&gt;=INDEX(Piano!$A$10:$A$18,9),INDEX(Piano!$B$10:$B$18,9),INDEX(Piano!$B$10:$B$18,MATCH($A22,Piano!$A$10:$A$18,1))+($A22-INDEX(Piano!$A$10:$A$18,MATCH($A22,Piano!$A$10:$A$18,1)))/(INDEX(Piano!$A$10:$A$18,MATCH($A22,Piano!$A$10:$A$18,1)+1)-INDEX(Piano!$A$10:$A$18,MATCH($A22,Piano!$A$10:$A$18,1)))*(INDEX(Piano!$B$10:$B$18,MATCH($A22,Piano!$A$10:$A$18,1)+1)-INDEX(Piano!$B$10:$B$18,MATCH($A22,Piano!$A$10:$A$18,1))))))</f>
        <v/>
      </c>
      <c r="K22" s="7">
        <f>IF($J22="","",$C22-$J22)</f>
        <v/>
      </c>
    </row>
    <row r="23">
      <c r="A23" s="14" t="n"/>
      <c r="B23" s="15" t="n"/>
      <c r="C23" s="15" t="n"/>
      <c r="D23" s="15" t="n">
        <v>0</v>
      </c>
      <c r="E23" s="15" t="n">
        <v>0</v>
      </c>
      <c r="F23" s="16" t="n"/>
      <c r="G23" s="7">
        <f>IF(NOT(ISNUMBER($A23)),"",$B23+$C23)</f>
        <v/>
      </c>
      <c r="H23" s="7">
        <f>IF(OR(NOT(ISNUMBER($A23)),NOT(ISNUMBER($A22))),"",$G22+$D23-$G23-$E23)</f>
        <v/>
      </c>
      <c r="I23" s="7">
        <f>IF($H23="","",$H23-Piano!$B$4)</f>
        <v/>
      </c>
      <c r="J23" s="7">
        <f>IF(NOT(ISNUMBER($A23)),"",IF($A23&lt;=INDEX(Piano!$A$10:$A$18,1),0,IF($A23&gt;=INDEX(Piano!$A$10:$A$18,9),INDEX(Piano!$B$10:$B$18,9),INDEX(Piano!$B$10:$B$18,MATCH($A23,Piano!$A$10:$A$18,1))+($A23-INDEX(Piano!$A$10:$A$18,MATCH($A23,Piano!$A$10:$A$18,1)))/(INDEX(Piano!$A$10:$A$18,MATCH($A23,Piano!$A$10:$A$18,1)+1)-INDEX(Piano!$A$10:$A$18,MATCH($A23,Piano!$A$10:$A$18,1)))*(INDEX(Piano!$B$10:$B$18,MATCH($A23,Piano!$A$10:$A$18,1)+1)-INDEX(Piano!$B$10:$B$18,MATCH($A23,Piano!$A$10:$A$18,1))))))</f>
        <v/>
      </c>
      <c r="K23" s="7">
        <f>IF($J23="","",$C23-$J23)</f>
        <v/>
      </c>
    </row>
    <row r="24">
      <c r="A24" s="14" t="n"/>
      <c r="B24" s="15" t="n"/>
      <c r="C24" s="15" t="n"/>
      <c r="D24" s="15" t="n">
        <v>0</v>
      </c>
      <c r="E24" s="15" t="n">
        <v>0</v>
      </c>
      <c r="F24" s="16" t="n"/>
      <c r="G24" s="7">
        <f>IF(NOT(ISNUMBER($A24)),"",$B24+$C24)</f>
        <v/>
      </c>
      <c r="H24" s="7">
        <f>IF(OR(NOT(ISNUMBER($A24)),NOT(ISNUMBER($A23))),"",$G23+$D24-$G24-$E24)</f>
        <v/>
      </c>
      <c r="I24" s="7">
        <f>IF($H24="","",$H24-Piano!$B$4)</f>
        <v/>
      </c>
      <c r="J24" s="7">
        <f>IF(NOT(ISNUMBER($A24)),"",IF($A24&lt;=INDEX(Piano!$A$10:$A$18,1),0,IF($A24&gt;=INDEX(Piano!$A$10:$A$18,9),INDEX(Piano!$B$10:$B$18,9),INDEX(Piano!$B$10:$B$18,MATCH($A24,Piano!$A$10:$A$18,1))+($A24-INDEX(Piano!$A$10:$A$18,MATCH($A24,Piano!$A$10:$A$18,1)))/(INDEX(Piano!$A$10:$A$18,MATCH($A24,Piano!$A$10:$A$18,1)+1)-INDEX(Piano!$A$10:$A$18,MATCH($A24,Piano!$A$10:$A$18,1)))*(INDEX(Piano!$B$10:$B$18,MATCH($A24,Piano!$A$10:$A$18,1)+1)-INDEX(Piano!$B$10:$B$18,MATCH($A24,Piano!$A$10:$A$18,1))))))</f>
        <v/>
      </c>
      <c r="K24" s="7">
        <f>IF($J24="","",$C24-$J24)</f>
        <v/>
      </c>
    </row>
    <row r="25">
      <c r="A25" s="14" t="n"/>
      <c r="B25" s="15" t="n"/>
      <c r="C25" s="15" t="n"/>
      <c r="D25" s="15" t="n">
        <v>0</v>
      </c>
      <c r="E25" s="15" t="n">
        <v>0</v>
      </c>
      <c r="F25" s="16" t="n"/>
      <c r="G25" s="7">
        <f>IF(NOT(ISNUMBER($A25)),"",$B25+$C25)</f>
        <v/>
      </c>
      <c r="H25" s="7">
        <f>IF(OR(NOT(ISNUMBER($A25)),NOT(ISNUMBER($A24))),"",$G24+$D25-$G25-$E25)</f>
        <v/>
      </c>
      <c r="I25" s="7">
        <f>IF($H25="","",$H25-Piano!$B$4)</f>
        <v/>
      </c>
      <c r="J25" s="7">
        <f>IF(NOT(ISNUMBER($A25)),"",IF($A25&lt;=INDEX(Piano!$A$10:$A$18,1),0,IF($A25&gt;=INDEX(Piano!$A$10:$A$18,9),INDEX(Piano!$B$10:$B$18,9),INDEX(Piano!$B$10:$B$18,MATCH($A25,Piano!$A$10:$A$18,1))+($A25-INDEX(Piano!$A$10:$A$18,MATCH($A25,Piano!$A$10:$A$18,1)))/(INDEX(Piano!$A$10:$A$18,MATCH($A25,Piano!$A$10:$A$18,1)+1)-INDEX(Piano!$A$10:$A$18,MATCH($A25,Piano!$A$10:$A$18,1)))*(INDEX(Piano!$B$10:$B$18,MATCH($A25,Piano!$A$10:$A$18,1)+1)-INDEX(Piano!$B$10:$B$18,MATCH($A25,Piano!$A$10:$A$18,1))))))</f>
        <v/>
      </c>
      <c r="K25" s="7">
        <f>IF($J25="","",$C25-$J25)</f>
        <v/>
      </c>
    </row>
    <row r="26">
      <c r="A26" s="14" t="n"/>
      <c r="B26" s="15" t="n"/>
      <c r="C26" s="15" t="n"/>
      <c r="D26" s="15" t="n">
        <v>0</v>
      </c>
      <c r="E26" s="15" t="n">
        <v>0</v>
      </c>
      <c r="F26" s="16" t="n"/>
      <c r="G26" s="7">
        <f>IF(NOT(ISNUMBER($A26)),"",$B26+$C26)</f>
        <v/>
      </c>
      <c r="H26" s="7">
        <f>IF(OR(NOT(ISNUMBER($A26)),NOT(ISNUMBER($A25))),"",$G25+$D26-$G26-$E26)</f>
        <v/>
      </c>
      <c r="I26" s="7">
        <f>IF($H26="","",$H26-Piano!$B$4)</f>
        <v/>
      </c>
      <c r="J26" s="7">
        <f>IF(NOT(ISNUMBER($A26)),"",IF($A26&lt;=INDEX(Piano!$A$10:$A$18,1),0,IF($A26&gt;=INDEX(Piano!$A$10:$A$18,9),INDEX(Piano!$B$10:$B$18,9),INDEX(Piano!$B$10:$B$18,MATCH($A26,Piano!$A$10:$A$18,1))+($A26-INDEX(Piano!$A$10:$A$18,MATCH($A26,Piano!$A$10:$A$18,1)))/(INDEX(Piano!$A$10:$A$18,MATCH($A26,Piano!$A$10:$A$18,1)+1)-INDEX(Piano!$A$10:$A$18,MATCH($A26,Piano!$A$10:$A$18,1)))*(INDEX(Piano!$B$10:$B$18,MATCH($A26,Piano!$A$10:$A$18,1)+1)-INDEX(Piano!$B$10:$B$18,MATCH($A26,Piano!$A$10:$A$18,1))))))</f>
        <v/>
      </c>
      <c r="K26" s="7">
        <f>IF($J26="","",$C26-$J26)</f>
        <v/>
      </c>
    </row>
    <row r="27">
      <c r="A27" s="14" t="n"/>
      <c r="B27" s="15" t="n"/>
      <c r="C27" s="15" t="n"/>
      <c r="D27" s="15" t="n">
        <v>0</v>
      </c>
      <c r="E27" s="15" t="n">
        <v>0</v>
      </c>
      <c r="F27" s="16" t="n"/>
      <c r="G27" s="7">
        <f>IF(NOT(ISNUMBER($A27)),"",$B27+$C27)</f>
        <v/>
      </c>
      <c r="H27" s="7">
        <f>IF(OR(NOT(ISNUMBER($A27)),NOT(ISNUMBER($A26))),"",$G26+$D27-$G27-$E27)</f>
        <v/>
      </c>
      <c r="I27" s="7">
        <f>IF($H27="","",$H27-Piano!$B$4)</f>
        <v/>
      </c>
      <c r="J27" s="7">
        <f>IF(NOT(ISNUMBER($A27)),"",IF($A27&lt;=INDEX(Piano!$A$10:$A$18,1),0,IF($A27&gt;=INDEX(Piano!$A$10:$A$18,9),INDEX(Piano!$B$10:$B$18,9),INDEX(Piano!$B$10:$B$18,MATCH($A27,Piano!$A$10:$A$18,1))+($A27-INDEX(Piano!$A$10:$A$18,MATCH($A27,Piano!$A$10:$A$18,1)))/(INDEX(Piano!$A$10:$A$18,MATCH($A27,Piano!$A$10:$A$18,1)+1)-INDEX(Piano!$A$10:$A$18,MATCH($A27,Piano!$A$10:$A$18,1)))*(INDEX(Piano!$B$10:$B$18,MATCH($A27,Piano!$A$10:$A$18,1)+1)-INDEX(Piano!$B$10:$B$18,MATCH($A27,Piano!$A$10:$A$18,1))))))</f>
        <v/>
      </c>
      <c r="K27" s="7">
        <f>IF($J27="","",$C27-$J27)</f>
        <v/>
      </c>
    </row>
    <row r="28">
      <c r="A28" s="14" t="n"/>
      <c r="B28" s="15" t="n"/>
      <c r="C28" s="15" t="n"/>
      <c r="D28" s="15" t="n">
        <v>0</v>
      </c>
      <c r="E28" s="15" t="n">
        <v>0</v>
      </c>
      <c r="F28" s="16" t="n"/>
      <c r="G28" s="7">
        <f>IF(NOT(ISNUMBER($A28)),"",$B28+$C28)</f>
        <v/>
      </c>
      <c r="H28" s="7">
        <f>IF(OR(NOT(ISNUMBER($A28)),NOT(ISNUMBER($A27))),"",$G27+$D28-$G28-$E28)</f>
        <v/>
      </c>
      <c r="I28" s="7">
        <f>IF($H28="","",$H28-Piano!$B$4)</f>
        <v/>
      </c>
      <c r="J28" s="7">
        <f>IF(NOT(ISNUMBER($A28)),"",IF($A28&lt;=INDEX(Piano!$A$10:$A$18,1),0,IF($A28&gt;=INDEX(Piano!$A$10:$A$18,9),INDEX(Piano!$B$10:$B$18,9),INDEX(Piano!$B$10:$B$18,MATCH($A28,Piano!$A$10:$A$18,1))+($A28-INDEX(Piano!$A$10:$A$18,MATCH($A28,Piano!$A$10:$A$18,1)))/(INDEX(Piano!$A$10:$A$18,MATCH($A28,Piano!$A$10:$A$18,1)+1)-INDEX(Piano!$A$10:$A$18,MATCH($A28,Piano!$A$10:$A$18,1)))*(INDEX(Piano!$B$10:$B$18,MATCH($A28,Piano!$A$10:$A$18,1)+1)-INDEX(Piano!$B$10:$B$18,MATCH($A28,Piano!$A$10:$A$18,1))))))</f>
        <v/>
      </c>
      <c r="K28" s="7">
        <f>IF($J28="","",$C28-$J28)</f>
        <v/>
      </c>
    </row>
    <row r="29">
      <c r="A29" s="14" t="n"/>
      <c r="B29" s="15" t="n"/>
      <c r="C29" s="15" t="n"/>
      <c r="D29" s="15" t="n">
        <v>0</v>
      </c>
      <c r="E29" s="15" t="n">
        <v>0</v>
      </c>
      <c r="F29" s="16" t="n"/>
      <c r="G29" s="7">
        <f>IF(NOT(ISNUMBER($A29)),"",$B29+$C29)</f>
        <v/>
      </c>
      <c r="H29" s="7">
        <f>IF(OR(NOT(ISNUMBER($A29)),NOT(ISNUMBER($A28))),"",$G28+$D29-$G29-$E29)</f>
        <v/>
      </c>
      <c r="I29" s="7">
        <f>IF($H29="","",$H29-Piano!$B$4)</f>
        <v/>
      </c>
      <c r="J29" s="7">
        <f>IF(NOT(ISNUMBER($A29)),"",IF($A29&lt;=INDEX(Piano!$A$10:$A$18,1),0,IF($A29&gt;=INDEX(Piano!$A$10:$A$18,9),INDEX(Piano!$B$10:$B$18,9),INDEX(Piano!$B$10:$B$18,MATCH($A29,Piano!$A$10:$A$18,1))+($A29-INDEX(Piano!$A$10:$A$18,MATCH($A29,Piano!$A$10:$A$18,1)))/(INDEX(Piano!$A$10:$A$18,MATCH($A29,Piano!$A$10:$A$18,1)+1)-INDEX(Piano!$A$10:$A$18,MATCH($A29,Piano!$A$10:$A$18,1)))*(INDEX(Piano!$B$10:$B$18,MATCH($A29,Piano!$A$10:$A$18,1)+1)-INDEX(Piano!$B$10:$B$18,MATCH($A29,Piano!$A$10:$A$18,1))))))</f>
        <v/>
      </c>
      <c r="K29" s="7">
        <f>IF($J29="","",$C29-$J29)</f>
        <v/>
      </c>
    </row>
    <row r="30">
      <c r="A30" s="14" t="n"/>
      <c r="B30" s="15" t="n"/>
      <c r="C30" s="15" t="n"/>
      <c r="D30" s="15" t="n">
        <v>0</v>
      </c>
      <c r="E30" s="15" t="n">
        <v>0</v>
      </c>
      <c r="F30" s="16" t="n"/>
      <c r="G30" s="7">
        <f>IF(NOT(ISNUMBER($A30)),"",$B30+$C30)</f>
        <v/>
      </c>
      <c r="H30" s="7">
        <f>IF(OR(NOT(ISNUMBER($A30)),NOT(ISNUMBER($A29))),"",$G29+$D30-$G30-$E30)</f>
        <v/>
      </c>
      <c r="I30" s="7">
        <f>IF($H30="","",$H30-Piano!$B$4)</f>
        <v/>
      </c>
      <c r="J30" s="7">
        <f>IF(NOT(ISNUMBER($A30)),"",IF($A30&lt;=INDEX(Piano!$A$10:$A$18,1),0,IF($A30&gt;=INDEX(Piano!$A$10:$A$18,9),INDEX(Piano!$B$10:$B$18,9),INDEX(Piano!$B$10:$B$18,MATCH($A30,Piano!$A$10:$A$18,1))+($A30-INDEX(Piano!$A$10:$A$18,MATCH($A30,Piano!$A$10:$A$18,1)))/(INDEX(Piano!$A$10:$A$18,MATCH($A30,Piano!$A$10:$A$18,1)+1)-INDEX(Piano!$A$10:$A$18,MATCH($A30,Piano!$A$10:$A$18,1)))*(INDEX(Piano!$B$10:$B$18,MATCH($A30,Piano!$A$10:$A$18,1)+1)-INDEX(Piano!$B$10:$B$18,MATCH($A30,Piano!$A$10:$A$18,1))))))</f>
        <v/>
      </c>
      <c r="K30" s="7">
        <f>IF($J30="","",$C30-$J30)</f>
        <v/>
      </c>
    </row>
    <row r="31">
      <c r="A31" s="14" t="n"/>
      <c r="B31" s="15" t="n"/>
      <c r="C31" s="15" t="n"/>
      <c r="D31" s="15" t="n">
        <v>0</v>
      </c>
      <c r="E31" s="15" t="n">
        <v>0</v>
      </c>
      <c r="F31" s="16" t="n"/>
      <c r="G31" s="7">
        <f>IF(NOT(ISNUMBER($A31)),"",$B31+$C31)</f>
        <v/>
      </c>
      <c r="H31" s="7">
        <f>IF(OR(NOT(ISNUMBER($A31)),NOT(ISNUMBER($A30))),"",$G30+$D31-$G31-$E31)</f>
        <v/>
      </c>
      <c r="I31" s="7">
        <f>IF($H31="","",$H31-Piano!$B$4)</f>
        <v/>
      </c>
      <c r="J31" s="7">
        <f>IF(NOT(ISNUMBER($A31)),"",IF($A31&lt;=INDEX(Piano!$A$10:$A$18,1),0,IF($A31&gt;=INDEX(Piano!$A$10:$A$18,9),INDEX(Piano!$B$10:$B$18,9),INDEX(Piano!$B$10:$B$18,MATCH($A31,Piano!$A$10:$A$18,1))+($A31-INDEX(Piano!$A$10:$A$18,MATCH($A31,Piano!$A$10:$A$18,1)))/(INDEX(Piano!$A$10:$A$18,MATCH($A31,Piano!$A$10:$A$18,1)+1)-INDEX(Piano!$A$10:$A$18,MATCH($A31,Piano!$A$10:$A$18,1)))*(INDEX(Piano!$B$10:$B$18,MATCH($A31,Piano!$A$10:$A$18,1)+1)-INDEX(Piano!$B$10:$B$18,MATCH($A31,Piano!$A$10:$A$18,1))))))</f>
        <v/>
      </c>
      <c r="K31" s="7">
        <f>IF($J31="","",$C31-$J31)</f>
        <v/>
      </c>
    </row>
    <row r="32">
      <c r="A32" s="14" t="n"/>
      <c r="B32" s="15" t="n"/>
      <c r="C32" s="15" t="n"/>
      <c r="D32" s="15" t="n">
        <v>0</v>
      </c>
      <c r="E32" s="15" t="n">
        <v>0</v>
      </c>
      <c r="F32" s="16" t="n"/>
      <c r="G32" s="7">
        <f>IF(NOT(ISNUMBER($A32)),"",$B32+$C32)</f>
        <v/>
      </c>
      <c r="H32" s="7">
        <f>IF(OR(NOT(ISNUMBER($A32)),NOT(ISNUMBER($A31))),"",$G31+$D32-$G32-$E32)</f>
        <v/>
      </c>
      <c r="I32" s="7">
        <f>IF($H32="","",$H32-Piano!$B$4)</f>
        <v/>
      </c>
      <c r="J32" s="7">
        <f>IF(NOT(ISNUMBER($A32)),"",IF($A32&lt;=INDEX(Piano!$A$10:$A$18,1),0,IF($A32&gt;=INDEX(Piano!$A$10:$A$18,9),INDEX(Piano!$B$10:$B$18,9),INDEX(Piano!$B$10:$B$18,MATCH($A32,Piano!$A$10:$A$18,1))+($A32-INDEX(Piano!$A$10:$A$18,MATCH($A32,Piano!$A$10:$A$18,1)))/(INDEX(Piano!$A$10:$A$18,MATCH($A32,Piano!$A$10:$A$18,1)+1)-INDEX(Piano!$A$10:$A$18,MATCH($A32,Piano!$A$10:$A$18,1)))*(INDEX(Piano!$B$10:$B$18,MATCH($A32,Piano!$A$10:$A$18,1)+1)-INDEX(Piano!$B$10:$B$18,MATCH($A32,Piano!$A$10:$A$18,1))))))</f>
        <v/>
      </c>
      <c r="K32" s="7">
        <f>IF($J32="","",$C32-$J32)</f>
        <v/>
      </c>
    </row>
    <row r="33">
      <c r="A33" s="14" t="n"/>
      <c r="B33" s="15" t="n"/>
      <c r="C33" s="15" t="n"/>
      <c r="D33" s="15" t="n">
        <v>0</v>
      </c>
      <c r="E33" s="15" t="n">
        <v>0</v>
      </c>
      <c r="F33" s="16" t="n"/>
      <c r="G33" s="7">
        <f>IF(NOT(ISNUMBER($A33)),"",$B33+$C33)</f>
        <v/>
      </c>
      <c r="H33" s="7">
        <f>IF(OR(NOT(ISNUMBER($A33)),NOT(ISNUMBER($A32))),"",$G32+$D33-$G33-$E33)</f>
        <v/>
      </c>
      <c r="I33" s="7">
        <f>IF($H33="","",$H33-Piano!$B$4)</f>
        <v/>
      </c>
      <c r="J33" s="7">
        <f>IF(NOT(ISNUMBER($A33)),"",IF($A33&lt;=INDEX(Piano!$A$10:$A$18,1),0,IF($A33&gt;=INDEX(Piano!$A$10:$A$18,9),INDEX(Piano!$B$10:$B$18,9),INDEX(Piano!$B$10:$B$18,MATCH($A33,Piano!$A$10:$A$18,1))+($A33-INDEX(Piano!$A$10:$A$18,MATCH($A33,Piano!$A$10:$A$18,1)))/(INDEX(Piano!$A$10:$A$18,MATCH($A33,Piano!$A$10:$A$18,1)+1)-INDEX(Piano!$A$10:$A$18,MATCH($A33,Piano!$A$10:$A$18,1)))*(INDEX(Piano!$B$10:$B$18,MATCH($A33,Piano!$A$10:$A$18,1)+1)-INDEX(Piano!$B$10:$B$18,MATCH($A33,Piano!$A$10:$A$18,1))))))</f>
        <v/>
      </c>
      <c r="K33" s="7">
        <f>IF($J33="","",$C33-$J33)</f>
        <v/>
      </c>
    </row>
    <row r="34">
      <c r="A34" s="14" t="n"/>
      <c r="B34" s="15" t="n"/>
      <c r="C34" s="15" t="n"/>
      <c r="D34" s="15" t="n">
        <v>0</v>
      </c>
      <c r="E34" s="15" t="n">
        <v>0</v>
      </c>
      <c r="F34" s="16" t="n"/>
      <c r="G34" s="7">
        <f>IF(NOT(ISNUMBER($A34)),"",$B34+$C34)</f>
        <v/>
      </c>
      <c r="H34" s="7">
        <f>IF(OR(NOT(ISNUMBER($A34)),NOT(ISNUMBER($A33))),"",$G33+$D34-$G34-$E34)</f>
        <v/>
      </c>
      <c r="I34" s="7">
        <f>IF($H34="","",$H34-Piano!$B$4)</f>
        <v/>
      </c>
      <c r="J34" s="7">
        <f>IF(NOT(ISNUMBER($A34)),"",IF($A34&lt;=INDEX(Piano!$A$10:$A$18,1),0,IF($A34&gt;=INDEX(Piano!$A$10:$A$18,9),INDEX(Piano!$B$10:$B$18,9),INDEX(Piano!$B$10:$B$18,MATCH($A34,Piano!$A$10:$A$18,1))+($A34-INDEX(Piano!$A$10:$A$18,MATCH($A34,Piano!$A$10:$A$18,1)))/(INDEX(Piano!$A$10:$A$18,MATCH($A34,Piano!$A$10:$A$18,1)+1)-INDEX(Piano!$A$10:$A$18,MATCH($A34,Piano!$A$10:$A$18,1)))*(INDEX(Piano!$B$10:$B$18,MATCH($A34,Piano!$A$10:$A$18,1)+1)-INDEX(Piano!$B$10:$B$18,MATCH($A34,Piano!$A$10:$A$18,1))))))</f>
        <v/>
      </c>
      <c r="K34" s="7">
        <f>IF($J34="","",$C34-$J34)</f>
        <v/>
      </c>
    </row>
    <row r="35">
      <c r="A35" s="14" t="n"/>
      <c r="B35" s="15" t="n"/>
      <c r="C35" s="15" t="n"/>
      <c r="D35" s="15" t="n">
        <v>0</v>
      </c>
      <c r="E35" s="15" t="n">
        <v>0</v>
      </c>
      <c r="F35" s="16" t="n"/>
      <c r="G35" s="7">
        <f>IF(NOT(ISNUMBER($A35)),"",$B35+$C35)</f>
        <v/>
      </c>
      <c r="H35" s="7">
        <f>IF(OR(NOT(ISNUMBER($A35)),NOT(ISNUMBER($A34))),"",$G34+$D35-$G35-$E35)</f>
        <v/>
      </c>
      <c r="I35" s="7">
        <f>IF($H35="","",$H35-Piano!$B$4)</f>
        <v/>
      </c>
      <c r="J35" s="7">
        <f>IF(NOT(ISNUMBER($A35)),"",IF($A35&lt;=INDEX(Piano!$A$10:$A$18,1),0,IF($A35&gt;=INDEX(Piano!$A$10:$A$18,9),INDEX(Piano!$B$10:$B$18,9),INDEX(Piano!$B$10:$B$18,MATCH($A35,Piano!$A$10:$A$18,1))+($A35-INDEX(Piano!$A$10:$A$18,MATCH($A35,Piano!$A$10:$A$18,1)))/(INDEX(Piano!$A$10:$A$18,MATCH($A35,Piano!$A$10:$A$18,1)+1)-INDEX(Piano!$A$10:$A$18,MATCH($A35,Piano!$A$10:$A$18,1)))*(INDEX(Piano!$B$10:$B$18,MATCH($A35,Piano!$A$10:$A$18,1)+1)-INDEX(Piano!$B$10:$B$18,MATCH($A35,Piano!$A$10:$A$18,1))))))</f>
        <v/>
      </c>
      <c r="K35" s="7">
        <f>IF($J35="","",$C35-$J35)</f>
        <v/>
      </c>
    </row>
    <row r="36">
      <c r="A36" s="14" t="n"/>
      <c r="B36" s="15" t="n"/>
      <c r="C36" s="15" t="n"/>
      <c r="D36" s="15" t="n">
        <v>0</v>
      </c>
      <c r="E36" s="15" t="n">
        <v>0</v>
      </c>
      <c r="F36" s="16" t="n"/>
      <c r="G36" s="7">
        <f>IF(NOT(ISNUMBER($A36)),"",$B36+$C36)</f>
        <v/>
      </c>
      <c r="H36" s="7">
        <f>IF(OR(NOT(ISNUMBER($A36)),NOT(ISNUMBER($A35))),"",$G35+$D36-$G36-$E36)</f>
        <v/>
      </c>
      <c r="I36" s="7">
        <f>IF($H36="","",$H36-Piano!$B$4)</f>
        <v/>
      </c>
      <c r="J36" s="7">
        <f>IF(NOT(ISNUMBER($A36)),"",IF($A36&lt;=INDEX(Piano!$A$10:$A$18,1),0,IF($A36&gt;=INDEX(Piano!$A$10:$A$18,9),INDEX(Piano!$B$10:$B$18,9),INDEX(Piano!$B$10:$B$18,MATCH($A36,Piano!$A$10:$A$18,1))+($A36-INDEX(Piano!$A$10:$A$18,MATCH($A36,Piano!$A$10:$A$18,1)))/(INDEX(Piano!$A$10:$A$18,MATCH($A36,Piano!$A$10:$A$18,1)+1)-INDEX(Piano!$A$10:$A$18,MATCH($A36,Piano!$A$10:$A$18,1)))*(INDEX(Piano!$B$10:$B$18,MATCH($A36,Piano!$A$10:$A$18,1)+1)-INDEX(Piano!$B$10:$B$18,MATCH($A36,Piano!$A$10:$A$18,1))))))</f>
        <v/>
      </c>
      <c r="K36" s="7">
        <f>IF($J36="","",$C36-$J36)</f>
        <v/>
      </c>
    </row>
    <row r="37">
      <c r="A37" s="14" t="n"/>
      <c r="B37" s="15" t="n"/>
      <c r="C37" s="15" t="n"/>
      <c r="D37" s="15" t="n">
        <v>0</v>
      </c>
      <c r="E37" s="15" t="n">
        <v>0</v>
      </c>
      <c r="F37" s="16" t="n"/>
      <c r="G37" s="7">
        <f>IF(NOT(ISNUMBER($A37)),"",$B37+$C37)</f>
        <v/>
      </c>
      <c r="H37" s="7">
        <f>IF(OR(NOT(ISNUMBER($A37)),NOT(ISNUMBER($A36))),"",$G36+$D37-$G37-$E37)</f>
        <v/>
      </c>
      <c r="I37" s="7">
        <f>IF($H37="","",$H37-Piano!$B$4)</f>
        <v/>
      </c>
      <c r="J37" s="7">
        <f>IF(NOT(ISNUMBER($A37)),"",IF($A37&lt;=INDEX(Piano!$A$10:$A$18,1),0,IF($A37&gt;=INDEX(Piano!$A$10:$A$18,9),INDEX(Piano!$B$10:$B$18,9),INDEX(Piano!$B$10:$B$18,MATCH($A37,Piano!$A$10:$A$18,1))+($A37-INDEX(Piano!$A$10:$A$18,MATCH($A37,Piano!$A$10:$A$18,1)))/(INDEX(Piano!$A$10:$A$18,MATCH($A37,Piano!$A$10:$A$18,1)+1)-INDEX(Piano!$A$10:$A$18,MATCH($A37,Piano!$A$10:$A$18,1)))*(INDEX(Piano!$B$10:$B$18,MATCH($A37,Piano!$A$10:$A$18,1)+1)-INDEX(Piano!$B$10:$B$18,MATCH($A37,Piano!$A$10:$A$18,1))))))</f>
        <v/>
      </c>
      <c r="K37" s="7">
        <f>IF($J37="","",$C37-$J37)</f>
        <v/>
      </c>
    </row>
    <row r="38">
      <c r="A38" s="14" t="n"/>
      <c r="B38" s="15" t="n"/>
      <c r="C38" s="15" t="n"/>
      <c r="D38" s="15" t="n">
        <v>0</v>
      </c>
      <c r="E38" s="15" t="n">
        <v>0</v>
      </c>
      <c r="F38" s="16" t="n"/>
      <c r="G38" s="7">
        <f>IF(NOT(ISNUMBER($A38)),"",$B38+$C38)</f>
        <v/>
      </c>
      <c r="H38" s="7">
        <f>IF(OR(NOT(ISNUMBER($A38)),NOT(ISNUMBER($A37))),"",$G37+$D38-$G38-$E38)</f>
        <v/>
      </c>
      <c r="I38" s="7">
        <f>IF($H38="","",$H38-Piano!$B$4)</f>
        <v/>
      </c>
      <c r="J38" s="7">
        <f>IF(NOT(ISNUMBER($A38)),"",IF($A38&lt;=INDEX(Piano!$A$10:$A$18,1),0,IF($A38&gt;=INDEX(Piano!$A$10:$A$18,9),INDEX(Piano!$B$10:$B$18,9),INDEX(Piano!$B$10:$B$18,MATCH($A38,Piano!$A$10:$A$18,1))+($A38-INDEX(Piano!$A$10:$A$18,MATCH($A38,Piano!$A$10:$A$18,1)))/(INDEX(Piano!$A$10:$A$18,MATCH($A38,Piano!$A$10:$A$18,1)+1)-INDEX(Piano!$A$10:$A$18,MATCH($A38,Piano!$A$10:$A$18,1)))*(INDEX(Piano!$B$10:$B$18,MATCH($A38,Piano!$A$10:$A$18,1)+1)-INDEX(Piano!$B$10:$B$18,MATCH($A38,Piano!$A$10:$A$18,1))))))</f>
        <v/>
      </c>
      <c r="K38" s="7">
        <f>IF($J38="","",$C38-$J38)</f>
        <v/>
      </c>
    </row>
    <row r="39">
      <c r="A39" s="14" t="n"/>
      <c r="B39" s="15" t="n"/>
      <c r="C39" s="15" t="n"/>
      <c r="D39" s="15" t="n">
        <v>0</v>
      </c>
      <c r="E39" s="15" t="n">
        <v>0</v>
      </c>
      <c r="F39" s="16" t="n"/>
      <c r="G39" s="7">
        <f>IF(NOT(ISNUMBER($A39)),"",$B39+$C39)</f>
        <v/>
      </c>
      <c r="H39" s="7">
        <f>IF(OR(NOT(ISNUMBER($A39)),NOT(ISNUMBER($A38))),"",$G38+$D39-$G39-$E39)</f>
        <v/>
      </c>
      <c r="I39" s="7">
        <f>IF($H39="","",$H39-Piano!$B$4)</f>
        <v/>
      </c>
      <c r="J39" s="7">
        <f>IF(NOT(ISNUMBER($A39)),"",IF($A39&lt;=INDEX(Piano!$A$10:$A$18,1),0,IF($A39&gt;=INDEX(Piano!$A$10:$A$18,9),INDEX(Piano!$B$10:$B$18,9),INDEX(Piano!$B$10:$B$18,MATCH($A39,Piano!$A$10:$A$18,1))+($A39-INDEX(Piano!$A$10:$A$18,MATCH($A39,Piano!$A$10:$A$18,1)))/(INDEX(Piano!$A$10:$A$18,MATCH($A39,Piano!$A$10:$A$18,1)+1)-INDEX(Piano!$A$10:$A$18,MATCH($A39,Piano!$A$10:$A$18,1)))*(INDEX(Piano!$B$10:$B$18,MATCH($A39,Piano!$A$10:$A$18,1)+1)-INDEX(Piano!$B$10:$B$18,MATCH($A39,Piano!$A$10:$A$18,1))))))</f>
        <v/>
      </c>
      <c r="K39" s="7">
        <f>IF($J39="","",$C39-$J39)</f>
        <v/>
      </c>
    </row>
    <row r="40">
      <c r="A40" s="14" t="n"/>
      <c r="B40" s="15" t="n"/>
      <c r="C40" s="15" t="n"/>
      <c r="D40" s="15" t="n">
        <v>0</v>
      </c>
      <c r="E40" s="15" t="n">
        <v>0</v>
      </c>
      <c r="F40" s="16" t="n"/>
      <c r="G40" s="7">
        <f>IF(NOT(ISNUMBER($A40)),"",$B40+$C40)</f>
        <v/>
      </c>
      <c r="H40" s="7">
        <f>IF(OR(NOT(ISNUMBER($A40)),NOT(ISNUMBER($A39))),"",$G39+$D40-$G40-$E40)</f>
        <v/>
      </c>
      <c r="I40" s="7">
        <f>IF($H40="","",$H40-Piano!$B$4)</f>
        <v/>
      </c>
      <c r="J40" s="7">
        <f>IF(NOT(ISNUMBER($A40)),"",IF($A40&lt;=INDEX(Piano!$A$10:$A$18,1),0,IF($A40&gt;=INDEX(Piano!$A$10:$A$18,9),INDEX(Piano!$B$10:$B$18,9),INDEX(Piano!$B$10:$B$18,MATCH($A40,Piano!$A$10:$A$18,1))+($A40-INDEX(Piano!$A$10:$A$18,MATCH($A40,Piano!$A$10:$A$18,1)))/(INDEX(Piano!$A$10:$A$18,MATCH($A40,Piano!$A$10:$A$18,1)+1)-INDEX(Piano!$A$10:$A$18,MATCH($A40,Piano!$A$10:$A$18,1)))*(INDEX(Piano!$B$10:$B$18,MATCH($A40,Piano!$A$10:$A$18,1)+1)-INDEX(Piano!$B$10:$B$18,MATCH($A40,Piano!$A$10:$A$18,1))))))</f>
        <v/>
      </c>
      <c r="K40" s="7">
        <f>IF($J40="","",$C40-$J40)</f>
        <v/>
      </c>
    </row>
    <row r="41">
      <c r="A41" s="14" t="n"/>
      <c r="B41" s="15" t="n"/>
      <c r="C41" s="15" t="n"/>
      <c r="D41" s="15" t="n">
        <v>0</v>
      </c>
      <c r="E41" s="15" t="n">
        <v>0</v>
      </c>
      <c r="F41" s="16" t="n"/>
      <c r="G41" s="7">
        <f>IF(NOT(ISNUMBER($A41)),"",$B41+$C41)</f>
        <v/>
      </c>
      <c r="H41" s="7">
        <f>IF(OR(NOT(ISNUMBER($A41)),NOT(ISNUMBER($A40))),"",$G40+$D41-$G41-$E41)</f>
        <v/>
      </c>
      <c r="I41" s="7">
        <f>IF($H41="","",$H41-Piano!$B$4)</f>
        <v/>
      </c>
      <c r="J41" s="7">
        <f>IF(NOT(ISNUMBER($A41)),"",IF($A41&lt;=INDEX(Piano!$A$10:$A$18,1),0,IF($A41&gt;=INDEX(Piano!$A$10:$A$18,9),INDEX(Piano!$B$10:$B$18,9),INDEX(Piano!$B$10:$B$18,MATCH($A41,Piano!$A$10:$A$18,1))+($A41-INDEX(Piano!$A$10:$A$18,MATCH($A41,Piano!$A$10:$A$18,1)))/(INDEX(Piano!$A$10:$A$18,MATCH($A41,Piano!$A$10:$A$18,1)+1)-INDEX(Piano!$A$10:$A$18,MATCH($A41,Piano!$A$10:$A$18,1)))*(INDEX(Piano!$B$10:$B$18,MATCH($A41,Piano!$A$10:$A$18,1)+1)-INDEX(Piano!$B$10:$B$18,MATCH($A41,Piano!$A$10:$A$18,1))))))</f>
        <v/>
      </c>
      <c r="K41" s="7">
        <f>IF($J41="","",$C41-$J41)</f>
        <v/>
      </c>
    </row>
    <row r="42">
      <c r="A42" s="14" t="n"/>
      <c r="B42" s="15" t="n"/>
      <c r="C42" s="15" t="n"/>
      <c r="D42" s="15" t="n">
        <v>0</v>
      </c>
      <c r="E42" s="15" t="n">
        <v>0</v>
      </c>
      <c r="F42" s="16" t="n"/>
      <c r="G42" s="7">
        <f>IF(NOT(ISNUMBER($A42)),"",$B42+$C42)</f>
        <v/>
      </c>
      <c r="H42" s="7">
        <f>IF(OR(NOT(ISNUMBER($A42)),NOT(ISNUMBER($A41))),"",$G41+$D42-$G42-$E42)</f>
        <v/>
      </c>
      <c r="I42" s="7">
        <f>IF($H42="","",$H42-Piano!$B$4)</f>
        <v/>
      </c>
      <c r="J42" s="7">
        <f>IF(NOT(ISNUMBER($A42)),"",IF($A42&lt;=INDEX(Piano!$A$10:$A$18,1),0,IF($A42&gt;=INDEX(Piano!$A$10:$A$18,9),INDEX(Piano!$B$10:$B$18,9),INDEX(Piano!$B$10:$B$18,MATCH($A42,Piano!$A$10:$A$18,1))+($A42-INDEX(Piano!$A$10:$A$18,MATCH($A42,Piano!$A$10:$A$18,1)))/(INDEX(Piano!$A$10:$A$18,MATCH($A42,Piano!$A$10:$A$18,1)+1)-INDEX(Piano!$A$10:$A$18,MATCH($A42,Piano!$A$10:$A$18,1)))*(INDEX(Piano!$B$10:$B$18,MATCH($A42,Piano!$A$10:$A$18,1)+1)-INDEX(Piano!$B$10:$B$18,MATCH($A42,Piano!$A$10:$A$18,1))))))</f>
        <v/>
      </c>
      <c r="K42" s="7">
        <f>IF($J42="","",$C42-$J42)</f>
        <v/>
      </c>
    </row>
    <row r="43">
      <c r="A43" s="14" t="n"/>
      <c r="B43" s="15" t="n"/>
      <c r="C43" s="15" t="n"/>
      <c r="D43" s="15" t="n">
        <v>0</v>
      </c>
      <c r="E43" s="15" t="n">
        <v>0</v>
      </c>
      <c r="F43" s="16" t="n"/>
      <c r="G43" s="7">
        <f>IF(NOT(ISNUMBER($A43)),"",$B43+$C43)</f>
        <v/>
      </c>
      <c r="H43" s="7">
        <f>IF(OR(NOT(ISNUMBER($A43)),NOT(ISNUMBER($A42))),"",$G42+$D43-$G43-$E43)</f>
        <v/>
      </c>
      <c r="I43" s="7">
        <f>IF($H43="","",$H43-Piano!$B$4)</f>
        <v/>
      </c>
      <c r="J43" s="7">
        <f>IF(NOT(ISNUMBER($A43)),"",IF($A43&lt;=INDEX(Piano!$A$10:$A$18,1),0,IF($A43&gt;=INDEX(Piano!$A$10:$A$18,9),INDEX(Piano!$B$10:$B$18,9),INDEX(Piano!$B$10:$B$18,MATCH($A43,Piano!$A$10:$A$18,1))+($A43-INDEX(Piano!$A$10:$A$18,MATCH($A43,Piano!$A$10:$A$18,1)))/(INDEX(Piano!$A$10:$A$18,MATCH($A43,Piano!$A$10:$A$18,1)+1)-INDEX(Piano!$A$10:$A$18,MATCH($A43,Piano!$A$10:$A$18,1)))*(INDEX(Piano!$B$10:$B$18,MATCH($A43,Piano!$A$10:$A$18,1)+1)-INDEX(Piano!$B$10:$B$18,MATCH($A43,Piano!$A$10:$A$18,1))))))</f>
        <v/>
      </c>
      <c r="K43" s="7">
        <f>IF($J43="","",$C43-$J43)</f>
        <v/>
      </c>
    </row>
    <row r="44">
      <c r="A44" s="14" t="n"/>
      <c r="B44" s="15" t="n"/>
      <c r="C44" s="15" t="n"/>
      <c r="D44" s="15" t="n">
        <v>0</v>
      </c>
      <c r="E44" s="15" t="n">
        <v>0</v>
      </c>
      <c r="F44" s="16" t="n"/>
      <c r="G44" s="7">
        <f>IF(NOT(ISNUMBER($A44)),"",$B44+$C44)</f>
        <v/>
      </c>
      <c r="H44" s="7">
        <f>IF(OR(NOT(ISNUMBER($A44)),NOT(ISNUMBER($A43))),"",$G43+$D44-$G44-$E44)</f>
        <v/>
      </c>
      <c r="I44" s="7">
        <f>IF($H44="","",$H44-Piano!$B$4)</f>
        <v/>
      </c>
      <c r="J44" s="7">
        <f>IF(NOT(ISNUMBER($A44)),"",IF($A44&lt;=INDEX(Piano!$A$10:$A$18,1),0,IF($A44&gt;=INDEX(Piano!$A$10:$A$18,9),INDEX(Piano!$B$10:$B$18,9),INDEX(Piano!$B$10:$B$18,MATCH($A44,Piano!$A$10:$A$18,1))+($A44-INDEX(Piano!$A$10:$A$18,MATCH($A44,Piano!$A$10:$A$18,1)))/(INDEX(Piano!$A$10:$A$18,MATCH($A44,Piano!$A$10:$A$18,1)+1)-INDEX(Piano!$A$10:$A$18,MATCH($A44,Piano!$A$10:$A$18,1)))*(INDEX(Piano!$B$10:$B$18,MATCH($A44,Piano!$A$10:$A$18,1)+1)-INDEX(Piano!$B$10:$B$18,MATCH($A44,Piano!$A$10:$A$18,1))))))</f>
        <v/>
      </c>
      <c r="K44" s="7">
        <f>IF($J44="","",$C44-$J44)</f>
        <v/>
      </c>
    </row>
    <row r="45">
      <c r="A45" s="14" t="n"/>
      <c r="B45" s="15" t="n"/>
      <c r="C45" s="15" t="n"/>
      <c r="D45" s="15" t="n">
        <v>0</v>
      </c>
      <c r="E45" s="15" t="n">
        <v>0</v>
      </c>
      <c r="F45" s="16" t="n"/>
      <c r="G45" s="7">
        <f>IF(NOT(ISNUMBER($A45)),"",$B45+$C45)</f>
        <v/>
      </c>
      <c r="H45" s="7">
        <f>IF(OR(NOT(ISNUMBER($A45)),NOT(ISNUMBER($A44))),"",$G44+$D45-$G45-$E45)</f>
        <v/>
      </c>
      <c r="I45" s="7">
        <f>IF($H45="","",$H45-Piano!$B$4)</f>
        <v/>
      </c>
      <c r="J45" s="7">
        <f>IF(NOT(ISNUMBER($A45)),"",IF($A45&lt;=INDEX(Piano!$A$10:$A$18,1),0,IF($A45&gt;=INDEX(Piano!$A$10:$A$18,9),INDEX(Piano!$B$10:$B$18,9),INDEX(Piano!$B$10:$B$18,MATCH($A45,Piano!$A$10:$A$18,1))+($A45-INDEX(Piano!$A$10:$A$18,MATCH($A45,Piano!$A$10:$A$18,1)))/(INDEX(Piano!$A$10:$A$18,MATCH($A45,Piano!$A$10:$A$18,1)+1)-INDEX(Piano!$A$10:$A$18,MATCH($A45,Piano!$A$10:$A$18,1)))*(INDEX(Piano!$B$10:$B$18,MATCH($A45,Piano!$A$10:$A$18,1)+1)-INDEX(Piano!$B$10:$B$18,MATCH($A45,Piano!$A$10:$A$18,1))))))</f>
        <v/>
      </c>
      <c r="K45" s="7">
        <f>IF($J45="","",$C45-$J45)</f>
        <v/>
      </c>
    </row>
    <row r="46">
      <c r="A46" s="14" t="n"/>
      <c r="B46" s="15" t="n"/>
      <c r="C46" s="15" t="n"/>
      <c r="D46" s="15" t="n">
        <v>0</v>
      </c>
      <c r="E46" s="15" t="n">
        <v>0</v>
      </c>
      <c r="F46" s="16" t="n"/>
      <c r="G46" s="7">
        <f>IF(NOT(ISNUMBER($A46)),"",$B46+$C46)</f>
        <v/>
      </c>
      <c r="H46" s="7">
        <f>IF(OR(NOT(ISNUMBER($A46)),NOT(ISNUMBER($A45))),"",$G45+$D46-$G46-$E46)</f>
        <v/>
      </c>
      <c r="I46" s="7">
        <f>IF($H46="","",$H46-Piano!$B$4)</f>
        <v/>
      </c>
      <c r="J46" s="7">
        <f>IF(NOT(ISNUMBER($A46)),"",IF($A46&lt;=INDEX(Piano!$A$10:$A$18,1),0,IF($A46&gt;=INDEX(Piano!$A$10:$A$18,9),INDEX(Piano!$B$10:$B$18,9),INDEX(Piano!$B$10:$B$18,MATCH($A46,Piano!$A$10:$A$18,1))+($A46-INDEX(Piano!$A$10:$A$18,MATCH($A46,Piano!$A$10:$A$18,1)))/(INDEX(Piano!$A$10:$A$18,MATCH($A46,Piano!$A$10:$A$18,1)+1)-INDEX(Piano!$A$10:$A$18,MATCH($A46,Piano!$A$10:$A$18,1)))*(INDEX(Piano!$B$10:$B$18,MATCH($A46,Piano!$A$10:$A$18,1)+1)-INDEX(Piano!$B$10:$B$18,MATCH($A46,Piano!$A$10:$A$18,1))))))</f>
        <v/>
      </c>
      <c r="K46" s="7">
        <f>IF($J46="","",$C46-$J46)</f>
        <v/>
      </c>
    </row>
    <row r="47">
      <c r="A47" s="14" t="n"/>
      <c r="B47" s="15" t="n"/>
      <c r="C47" s="15" t="n"/>
      <c r="D47" s="15" t="n">
        <v>0</v>
      </c>
      <c r="E47" s="15" t="n">
        <v>0</v>
      </c>
      <c r="F47" s="16" t="n"/>
      <c r="G47" s="7">
        <f>IF(NOT(ISNUMBER($A47)),"",$B47+$C47)</f>
        <v/>
      </c>
      <c r="H47" s="7">
        <f>IF(OR(NOT(ISNUMBER($A47)),NOT(ISNUMBER($A46))),"",$G46+$D47-$G47-$E47)</f>
        <v/>
      </c>
      <c r="I47" s="7">
        <f>IF($H47="","",$H47-Piano!$B$4)</f>
        <v/>
      </c>
      <c r="J47" s="7">
        <f>IF(NOT(ISNUMBER($A47)),"",IF($A47&lt;=INDEX(Piano!$A$10:$A$18,1),0,IF($A47&gt;=INDEX(Piano!$A$10:$A$18,9),INDEX(Piano!$B$10:$B$18,9),INDEX(Piano!$B$10:$B$18,MATCH($A47,Piano!$A$10:$A$18,1))+($A47-INDEX(Piano!$A$10:$A$18,MATCH($A47,Piano!$A$10:$A$18,1)))/(INDEX(Piano!$A$10:$A$18,MATCH($A47,Piano!$A$10:$A$18,1)+1)-INDEX(Piano!$A$10:$A$18,MATCH($A47,Piano!$A$10:$A$18,1)))*(INDEX(Piano!$B$10:$B$18,MATCH($A47,Piano!$A$10:$A$18,1)+1)-INDEX(Piano!$B$10:$B$18,MATCH($A47,Piano!$A$10:$A$18,1))))))</f>
        <v/>
      </c>
      <c r="K47" s="7">
        <f>IF($J47="","",$C47-$J47)</f>
        <v/>
      </c>
    </row>
    <row r="48">
      <c r="A48" s="14" t="n"/>
      <c r="B48" s="15" t="n"/>
      <c r="C48" s="15" t="n"/>
      <c r="D48" s="15" t="n">
        <v>0</v>
      </c>
      <c r="E48" s="15" t="n">
        <v>0</v>
      </c>
      <c r="F48" s="16" t="n"/>
      <c r="G48" s="7">
        <f>IF(NOT(ISNUMBER($A48)),"",$B48+$C48)</f>
        <v/>
      </c>
      <c r="H48" s="7">
        <f>IF(OR(NOT(ISNUMBER($A48)),NOT(ISNUMBER($A47))),"",$G47+$D48-$G48-$E48)</f>
        <v/>
      </c>
      <c r="I48" s="7">
        <f>IF($H48="","",$H48-Piano!$B$4)</f>
        <v/>
      </c>
      <c r="J48" s="7">
        <f>IF(NOT(ISNUMBER($A48)),"",IF($A48&lt;=INDEX(Piano!$A$10:$A$18,1),0,IF($A48&gt;=INDEX(Piano!$A$10:$A$18,9),INDEX(Piano!$B$10:$B$18,9),INDEX(Piano!$B$10:$B$18,MATCH($A48,Piano!$A$10:$A$18,1))+($A48-INDEX(Piano!$A$10:$A$18,MATCH($A48,Piano!$A$10:$A$18,1)))/(INDEX(Piano!$A$10:$A$18,MATCH($A48,Piano!$A$10:$A$18,1)+1)-INDEX(Piano!$A$10:$A$18,MATCH($A48,Piano!$A$10:$A$18,1)))*(INDEX(Piano!$B$10:$B$18,MATCH($A48,Piano!$A$10:$A$18,1)+1)-INDEX(Piano!$B$10:$B$18,MATCH($A48,Piano!$A$10:$A$18,1))))))</f>
        <v/>
      </c>
      <c r="K48" s="7">
        <f>IF($J48="","",$C48-$J48)</f>
        <v/>
      </c>
    </row>
    <row r="49">
      <c r="A49" s="14" t="n"/>
      <c r="B49" s="15" t="n"/>
      <c r="C49" s="15" t="n"/>
      <c r="D49" s="15" t="n">
        <v>0</v>
      </c>
      <c r="E49" s="15" t="n">
        <v>0</v>
      </c>
      <c r="F49" s="16" t="n"/>
      <c r="G49" s="7">
        <f>IF(NOT(ISNUMBER($A49)),"",$B49+$C49)</f>
        <v/>
      </c>
      <c r="H49" s="7">
        <f>IF(OR(NOT(ISNUMBER($A49)),NOT(ISNUMBER($A48))),"",$G48+$D49-$G49-$E49)</f>
        <v/>
      </c>
      <c r="I49" s="7">
        <f>IF($H49="","",$H49-Piano!$B$4)</f>
        <v/>
      </c>
      <c r="J49" s="7">
        <f>IF(NOT(ISNUMBER($A49)),"",IF($A49&lt;=INDEX(Piano!$A$10:$A$18,1),0,IF($A49&gt;=INDEX(Piano!$A$10:$A$18,9),INDEX(Piano!$B$10:$B$18,9),INDEX(Piano!$B$10:$B$18,MATCH($A49,Piano!$A$10:$A$18,1))+($A49-INDEX(Piano!$A$10:$A$18,MATCH($A49,Piano!$A$10:$A$18,1)))/(INDEX(Piano!$A$10:$A$18,MATCH($A49,Piano!$A$10:$A$18,1)+1)-INDEX(Piano!$A$10:$A$18,MATCH($A49,Piano!$A$10:$A$18,1)))*(INDEX(Piano!$B$10:$B$18,MATCH($A49,Piano!$A$10:$A$18,1)+1)-INDEX(Piano!$B$10:$B$18,MATCH($A49,Piano!$A$10:$A$18,1))))))</f>
        <v/>
      </c>
      <c r="K49" s="7">
        <f>IF($J49="","",$C49-$J49)</f>
        <v/>
      </c>
    </row>
    <row r="50">
      <c r="A50" s="14" t="n"/>
      <c r="B50" s="15" t="n"/>
      <c r="C50" s="15" t="n"/>
      <c r="D50" s="15" t="n">
        <v>0</v>
      </c>
      <c r="E50" s="15" t="n">
        <v>0</v>
      </c>
      <c r="F50" s="16" t="n"/>
      <c r="G50" s="7">
        <f>IF(NOT(ISNUMBER($A50)),"",$B50+$C50)</f>
        <v/>
      </c>
      <c r="H50" s="7">
        <f>IF(OR(NOT(ISNUMBER($A50)),NOT(ISNUMBER($A49))),"",$G49+$D50-$G50-$E50)</f>
        <v/>
      </c>
      <c r="I50" s="7">
        <f>IF($H50="","",$H50-Piano!$B$4)</f>
        <v/>
      </c>
      <c r="J50" s="7">
        <f>IF(NOT(ISNUMBER($A50)),"",IF($A50&lt;=INDEX(Piano!$A$10:$A$18,1),0,IF($A50&gt;=INDEX(Piano!$A$10:$A$18,9),INDEX(Piano!$B$10:$B$18,9),INDEX(Piano!$B$10:$B$18,MATCH($A50,Piano!$A$10:$A$18,1))+($A50-INDEX(Piano!$A$10:$A$18,MATCH($A50,Piano!$A$10:$A$18,1)))/(INDEX(Piano!$A$10:$A$18,MATCH($A50,Piano!$A$10:$A$18,1)+1)-INDEX(Piano!$A$10:$A$18,MATCH($A50,Piano!$A$10:$A$18,1)))*(INDEX(Piano!$B$10:$B$18,MATCH($A50,Piano!$A$10:$A$18,1)+1)-INDEX(Piano!$B$10:$B$18,MATCH($A50,Piano!$A$10:$A$18,1))))))</f>
        <v/>
      </c>
      <c r="K50" s="7">
        <f>IF($J50="","",$C50-$J50)</f>
        <v/>
      </c>
    </row>
    <row r="51">
      <c r="A51" s="14" t="n"/>
      <c r="B51" s="15" t="n"/>
      <c r="C51" s="15" t="n"/>
      <c r="D51" s="15" t="n">
        <v>0</v>
      </c>
      <c r="E51" s="15" t="n">
        <v>0</v>
      </c>
      <c r="F51" s="16" t="n"/>
      <c r="G51" s="7">
        <f>IF(NOT(ISNUMBER($A51)),"",$B51+$C51)</f>
        <v/>
      </c>
      <c r="H51" s="7">
        <f>IF(OR(NOT(ISNUMBER($A51)),NOT(ISNUMBER($A50))),"",$G50+$D51-$G51-$E51)</f>
        <v/>
      </c>
      <c r="I51" s="7">
        <f>IF($H51="","",$H51-Piano!$B$4)</f>
        <v/>
      </c>
      <c r="J51" s="7">
        <f>IF(NOT(ISNUMBER($A51)),"",IF($A51&lt;=INDEX(Piano!$A$10:$A$18,1),0,IF($A51&gt;=INDEX(Piano!$A$10:$A$18,9),INDEX(Piano!$B$10:$B$18,9),INDEX(Piano!$B$10:$B$18,MATCH($A51,Piano!$A$10:$A$18,1))+($A51-INDEX(Piano!$A$10:$A$18,MATCH($A51,Piano!$A$10:$A$18,1)))/(INDEX(Piano!$A$10:$A$18,MATCH($A51,Piano!$A$10:$A$18,1)+1)-INDEX(Piano!$A$10:$A$18,MATCH($A51,Piano!$A$10:$A$18,1)))*(INDEX(Piano!$B$10:$B$18,MATCH($A51,Piano!$A$10:$A$18,1)+1)-INDEX(Piano!$B$10:$B$18,MATCH($A51,Piano!$A$10:$A$18,1))))))</f>
        <v/>
      </c>
      <c r="K51" s="7">
        <f>IF($J51="","",$C51-$J51)</f>
        <v/>
      </c>
    </row>
    <row r="52">
      <c r="A52" s="14" t="n"/>
      <c r="B52" s="15" t="n"/>
      <c r="C52" s="15" t="n"/>
      <c r="D52" s="15" t="n">
        <v>0</v>
      </c>
      <c r="E52" s="15" t="n">
        <v>0</v>
      </c>
      <c r="F52" s="16" t="n"/>
      <c r="G52" s="7">
        <f>IF(NOT(ISNUMBER($A52)),"",$B52+$C52)</f>
        <v/>
      </c>
      <c r="H52" s="7">
        <f>IF(OR(NOT(ISNUMBER($A52)),NOT(ISNUMBER($A51))),"",$G51+$D52-$G52-$E52)</f>
        <v/>
      </c>
      <c r="I52" s="7">
        <f>IF($H52="","",$H52-Piano!$B$4)</f>
        <v/>
      </c>
      <c r="J52" s="7">
        <f>IF(NOT(ISNUMBER($A52)),"",IF($A52&lt;=INDEX(Piano!$A$10:$A$18,1),0,IF($A52&gt;=INDEX(Piano!$A$10:$A$18,9),INDEX(Piano!$B$10:$B$18,9),INDEX(Piano!$B$10:$B$18,MATCH($A52,Piano!$A$10:$A$18,1))+($A52-INDEX(Piano!$A$10:$A$18,MATCH($A52,Piano!$A$10:$A$18,1)))/(INDEX(Piano!$A$10:$A$18,MATCH($A52,Piano!$A$10:$A$18,1)+1)-INDEX(Piano!$A$10:$A$18,MATCH($A52,Piano!$A$10:$A$18,1)))*(INDEX(Piano!$B$10:$B$18,MATCH($A52,Piano!$A$10:$A$18,1)+1)-INDEX(Piano!$B$10:$B$18,MATCH($A52,Piano!$A$10:$A$18,1))))))</f>
        <v/>
      </c>
      <c r="K52" s="7">
        <f>IF($J52="","",$C52-$J52)</f>
        <v/>
      </c>
    </row>
    <row r="53">
      <c r="A53" s="14" t="n"/>
      <c r="B53" s="15" t="n"/>
      <c r="C53" s="15" t="n"/>
      <c r="D53" s="15" t="n">
        <v>0</v>
      </c>
      <c r="E53" s="15" t="n">
        <v>0</v>
      </c>
      <c r="F53" s="16" t="n"/>
      <c r="G53" s="7">
        <f>IF(NOT(ISNUMBER($A53)),"",$B53+$C53)</f>
        <v/>
      </c>
      <c r="H53" s="7">
        <f>IF(OR(NOT(ISNUMBER($A53)),NOT(ISNUMBER($A52))),"",$G52+$D53-$G53-$E53)</f>
        <v/>
      </c>
      <c r="I53" s="7">
        <f>IF($H53="","",$H53-Piano!$B$4)</f>
        <v/>
      </c>
      <c r="J53" s="7">
        <f>IF(NOT(ISNUMBER($A53)),"",IF($A53&lt;=INDEX(Piano!$A$10:$A$18,1),0,IF($A53&gt;=INDEX(Piano!$A$10:$A$18,9),INDEX(Piano!$B$10:$B$18,9),INDEX(Piano!$B$10:$B$18,MATCH($A53,Piano!$A$10:$A$18,1))+($A53-INDEX(Piano!$A$10:$A$18,MATCH($A53,Piano!$A$10:$A$18,1)))/(INDEX(Piano!$A$10:$A$18,MATCH($A53,Piano!$A$10:$A$18,1)+1)-INDEX(Piano!$A$10:$A$18,MATCH($A53,Piano!$A$10:$A$18,1)))*(INDEX(Piano!$B$10:$B$18,MATCH($A53,Piano!$A$10:$A$18,1)+1)-INDEX(Piano!$B$10:$B$18,MATCH($A53,Piano!$A$10:$A$18,1))))))</f>
        <v/>
      </c>
      <c r="K53" s="7">
        <f>IF($J53="","",$C53-$J53)</f>
        <v/>
      </c>
    </row>
    <row r="54">
      <c r="A54" s="14" t="n"/>
      <c r="B54" s="15" t="n"/>
      <c r="C54" s="15" t="n"/>
      <c r="D54" s="15" t="n">
        <v>0</v>
      </c>
      <c r="E54" s="15" t="n">
        <v>0</v>
      </c>
      <c r="F54" s="16" t="n"/>
      <c r="G54" s="7">
        <f>IF(NOT(ISNUMBER($A54)),"",$B54+$C54)</f>
        <v/>
      </c>
      <c r="H54" s="7">
        <f>IF(OR(NOT(ISNUMBER($A54)),NOT(ISNUMBER($A53))),"",$G53+$D54-$G54-$E54)</f>
        <v/>
      </c>
      <c r="I54" s="7">
        <f>IF($H54="","",$H54-Piano!$B$4)</f>
        <v/>
      </c>
      <c r="J54" s="7">
        <f>IF(NOT(ISNUMBER($A54)),"",IF($A54&lt;=INDEX(Piano!$A$10:$A$18,1),0,IF($A54&gt;=INDEX(Piano!$A$10:$A$18,9),INDEX(Piano!$B$10:$B$18,9),INDEX(Piano!$B$10:$B$18,MATCH($A54,Piano!$A$10:$A$18,1))+($A54-INDEX(Piano!$A$10:$A$18,MATCH($A54,Piano!$A$10:$A$18,1)))/(INDEX(Piano!$A$10:$A$18,MATCH($A54,Piano!$A$10:$A$18,1)+1)-INDEX(Piano!$A$10:$A$18,MATCH($A54,Piano!$A$10:$A$18,1)))*(INDEX(Piano!$B$10:$B$18,MATCH($A54,Piano!$A$10:$A$18,1)+1)-INDEX(Piano!$B$10:$B$18,MATCH($A54,Piano!$A$10:$A$18,1))))))</f>
        <v/>
      </c>
      <c r="K54" s="7">
        <f>IF($J54="","",$C54-$J54)</f>
        <v/>
      </c>
    </row>
    <row r="55">
      <c r="A55" s="14" t="n"/>
      <c r="B55" s="15" t="n"/>
      <c r="C55" s="15" t="n"/>
      <c r="D55" s="15" t="n">
        <v>0</v>
      </c>
      <c r="E55" s="15" t="n">
        <v>0</v>
      </c>
      <c r="F55" s="16" t="n"/>
      <c r="G55" s="7">
        <f>IF(NOT(ISNUMBER($A55)),"",$B55+$C55)</f>
        <v/>
      </c>
      <c r="H55" s="7">
        <f>IF(OR(NOT(ISNUMBER($A55)),NOT(ISNUMBER($A54))),"",$G54+$D55-$G55-$E55)</f>
        <v/>
      </c>
      <c r="I55" s="7">
        <f>IF($H55="","",$H55-Piano!$B$4)</f>
        <v/>
      </c>
      <c r="J55" s="7">
        <f>IF(NOT(ISNUMBER($A55)),"",IF($A55&lt;=INDEX(Piano!$A$10:$A$18,1),0,IF($A55&gt;=INDEX(Piano!$A$10:$A$18,9),INDEX(Piano!$B$10:$B$18,9),INDEX(Piano!$B$10:$B$18,MATCH($A55,Piano!$A$10:$A$18,1))+($A55-INDEX(Piano!$A$10:$A$18,MATCH($A55,Piano!$A$10:$A$18,1)))/(INDEX(Piano!$A$10:$A$18,MATCH($A55,Piano!$A$10:$A$18,1)+1)-INDEX(Piano!$A$10:$A$18,MATCH($A55,Piano!$A$10:$A$18,1)))*(INDEX(Piano!$B$10:$B$18,MATCH($A55,Piano!$A$10:$A$18,1)+1)-INDEX(Piano!$B$10:$B$18,MATCH($A55,Piano!$A$10:$A$18,1))))))</f>
        <v/>
      </c>
      <c r="K55" s="7">
        <f>IF($J55="","",$C55-$J55)</f>
        <v/>
      </c>
    </row>
    <row r="56">
      <c r="A56" s="14" t="n"/>
      <c r="B56" s="15" t="n"/>
      <c r="C56" s="15" t="n"/>
      <c r="D56" s="15" t="n">
        <v>0</v>
      </c>
      <c r="E56" s="15" t="n">
        <v>0</v>
      </c>
      <c r="F56" s="16" t="n"/>
      <c r="G56" s="7">
        <f>IF(NOT(ISNUMBER($A56)),"",$B56+$C56)</f>
        <v/>
      </c>
      <c r="H56" s="7">
        <f>IF(OR(NOT(ISNUMBER($A56)),NOT(ISNUMBER($A55))),"",$G55+$D56-$G56-$E56)</f>
        <v/>
      </c>
      <c r="I56" s="7">
        <f>IF($H56="","",$H56-Piano!$B$4)</f>
        <v/>
      </c>
      <c r="J56" s="7">
        <f>IF(NOT(ISNUMBER($A56)),"",IF($A56&lt;=INDEX(Piano!$A$10:$A$18,1),0,IF($A56&gt;=INDEX(Piano!$A$10:$A$18,9),INDEX(Piano!$B$10:$B$18,9),INDEX(Piano!$B$10:$B$18,MATCH($A56,Piano!$A$10:$A$18,1))+($A56-INDEX(Piano!$A$10:$A$18,MATCH($A56,Piano!$A$10:$A$18,1)))/(INDEX(Piano!$A$10:$A$18,MATCH($A56,Piano!$A$10:$A$18,1)+1)-INDEX(Piano!$A$10:$A$18,MATCH($A56,Piano!$A$10:$A$18,1)))*(INDEX(Piano!$B$10:$B$18,MATCH($A56,Piano!$A$10:$A$18,1)+1)-INDEX(Piano!$B$10:$B$18,MATCH($A56,Piano!$A$10:$A$18,1))))))</f>
        <v/>
      </c>
      <c r="K56" s="7">
        <f>IF($J56="","",$C56-$J56)</f>
        <v/>
      </c>
    </row>
    <row r="57">
      <c r="A57" s="14" t="n"/>
      <c r="B57" s="15" t="n"/>
      <c r="C57" s="15" t="n"/>
      <c r="D57" s="15" t="n">
        <v>0</v>
      </c>
      <c r="E57" s="15" t="n">
        <v>0</v>
      </c>
      <c r="F57" s="16" t="n"/>
      <c r="G57" s="7">
        <f>IF(NOT(ISNUMBER($A57)),"",$B57+$C57)</f>
        <v/>
      </c>
      <c r="H57" s="7">
        <f>IF(OR(NOT(ISNUMBER($A57)),NOT(ISNUMBER($A56))),"",$G56+$D57-$G57-$E57)</f>
        <v/>
      </c>
      <c r="I57" s="7">
        <f>IF($H57="","",$H57-Piano!$B$4)</f>
        <v/>
      </c>
      <c r="J57" s="7">
        <f>IF(NOT(ISNUMBER($A57)),"",IF($A57&lt;=INDEX(Piano!$A$10:$A$18,1),0,IF($A57&gt;=INDEX(Piano!$A$10:$A$18,9),INDEX(Piano!$B$10:$B$18,9),INDEX(Piano!$B$10:$B$18,MATCH($A57,Piano!$A$10:$A$18,1))+($A57-INDEX(Piano!$A$10:$A$18,MATCH($A57,Piano!$A$10:$A$18,1)))/(INDEX(Piano!$A$10:$A$18,MATCH($A57,Piano!$A$10:$A$18,1)+1)-INDEX(Piano!$A$10:$A$18,MATCH($A57,Piano!$A$10:$A$18,1)))*(INDEX(Piano!$B$10:$B$18,MATCH($A57,Piano!$A$10:$A$18,1)+1)-INDEX(Piano!$B$10:$B$18,MATCH($A57,Piano!$A$10:$A$18,1))))))</f>
        <v/>
      </c>
      <c r="K57" s="7">
        <f>IF($J57="","",$C57-$J57)</f>
        <v/>
      </c>
    </row>
    <row r="58">
      <c r="A58" s="14" t="n"/>
      <c r="B58" s="15" t="n"/>
      <c r="C58" s="15" t="n"/>
      <c r="D58" s="15" t="n">
        <v>0</v>
      </c>
      <c r="E58" s="15" t="n">
        <v>0</v>
      </c>
      <c r="F58" s="16" t="n"/>
      <c r="G58" s="7">
        <f>IF(NOT(ISNUMBER($A58)),"",$B58+$C58)</f>
        <v/>
      </c>
      <c r="H58" s="7">
        <f>IF(OR(NOT(ISNUMBER($A58)),NOT(ISNUMBER($A57))),"",$G57+$D58-$G58-$E58)</f>
        <v/>
      </c>
      <c r="I58" s="7">
        <f>IF($H58="","",$H58-Piano!$B$4)</f>
        <v/>
      </c>
      <c r="J58" s="7">
        <f>IF(NOT(ISNUMBER($A58)),"",IF($A58&lt;=INDEX(Piano!$A$10:$A$18,1),0,IF($A58&gt;=INDEX(Piano!$A$10:$A$18,9),INDEX(Piano!$B$10:$B$18,9),INDEX(Piano!$B$10:$B$18,MATCH($A58,Piano!$A$10:$A$18,1))+($A58-INDEX(Piano!$A$10:$A$18,MATCH($A58,Piano!$A$10:$A$18,1)))/(INDEX(Piano!$A$10:$A$18,MATCH($A58,Piano!$A$10:$A$18,1)+1)-INDEX(Piano!$A$10:$A$18,MATCH($A58,Piano!$A$10:$A$18,1)))*(INDEX(Piano!$B$10:$B$18,MATCH($A58,Piano!$A$10:$A$18,1)+1)-INDEX(Piano!$B$10:$B$18,MATCH($A58,Piano!$A$10:$A$18,1))))))</f>
        <v/>
      </c>
      <c r="K58" s="7">
        <f>IF($J58="","",$C58-$J58)</f>
        <v/>
      </c>
    </row>
    <row r="59">
      <c r="A59" s="14" t="n"/>
      <c r="B59" s="15" t="n"/>
      <c r="C59" s="15" t="n"/>
      <c r="D59" s="15" t="n">
        <v>0</v>
      </c>
      <c r="E59" s="15" t="n">
        <v>0</v>
      </c>
      <c r="F59" s="16" t="n"/>
      <c r="G59" s="7">
        <f>IF(NOT(ISNUMBER($A59)),"",$B59+$C59)</f>
        <v/>
      </c>
      <c r="H59" s="7">
        <f>IF(OR(NOT(ISNUMBER($A59)),NOT(ISNUMBER($A58))),"",$G58+$D59-$G59-$E59)</f>
        <v/>
      </c>
      <c r="I59" s="7">
        <f>IF($H59="","",$H59-Piano!$B$4)</f>
        <v/>
      </c>
      <c r="J59" s="7">
        <f>IF(NOT(ISNUMBER($A59)),"",IF($A59&lt;=INDEX(Piano!$A$10:$A$18,1),0,IF($A59&gt;=INDEX(Piano!$A$10:$A$18,9),INDEX(Piano!$B$10:$B$18,9),INDEX(Piano!$B$10:$B$18,MATCH($A59,Piano!$A$10:$A$18,1))+($A59-INDEX(Piano!$A$10:$A$18,MATCH($A59,Piano!$A$10:$A$18,1)))/(INDEX(Piano!$A$10:$A$18,MATCH($A59,Piano!$A$10:$A$18,1)+1)-INDEX(Piano!$A$10:$A$18,MATCH($A59,Piano!$A$10:$A$18,1)))*(INDEX(Piano!$B$10:$B$18,MATCH($A59,Piano!$A$10:$A$18,1)+1)-INDEX(Piano!$B$10:$B$18,MATCH($A59,Piano!$A$10:$A$18,1))))))</f>
        <v/>
      </c>
      <c r="K59" s="7">
        <f>IF($J59="","",$C59-$J59)</f>
        <v/>
      </c>
    </row>
    <row r="60">
      <c r="A60" s="14" t="n"/>
      <c r="B60" s="15" t="n"/>
      <c r="C60" s="15" t="n"/>
      <c r="D60" s="15" t="n">
        <v>0</v>
      </c>
      <c r="E60" s="15" t="n">
        <v>0</v>
      </c>
      <c r="F60" s="16" t="n"/>
      <c r="G60" s="7">
        <f>IF(NOT(ISNUMBER($A60)),"",$B60+$C60)</f>
        <v/>
      </c>
      <c r="H60" s="7">
        <f>IF(OR(NOT(ISNUMBER($A60)),NOT(ISNUMBER($A59))),"",$G59+$D60-$G60-$E60)</f>
        <v/>
      </c>
      <c r="I60" s="7">
        <f>IF($H60="","",$H60-Piano!$B$4)</f>
        <v/>
      </c>
      <c r="J60" s="7">
        <f>IF(NOT(ISNUMBER($A60)),"",IF($A60&lt;=INDEX(Piano!$A$10:$A$18,1),0,IF($A60&gt;=INDEX(Piano!$A$10:$A$18,9),INDEX(Piano!$B$10:$B$18,9),INDEX(Piano!$B$10:$B$18,MATCH($A60,Piano!$A$10:$A$18,1))+($A60-INDEX(Piano!$A$10:$A$18,MATCH($A60,Piano!$A$10:$A$18,1)))/(INDEX(Piano!$A$10:$A$18,MATCH($A60,Piano!$A$10:$A$18,1)+1)-INDEX(Piano!$A$10:$A$18,MATCH($A60,Piano!$A$10:$A$18,1)))*(INDEX(Piano!$B$10:$B$18,MATCH($A60,Piano!$A$10:$A$18,1)+1)-INDEX(Piano!$B$10:$B$18,MATCH($A60,Piano!$A$10:$A$18,1))))))</f>
        <v/>
      </c>
      <c r="K60" s="7">
        <f>IF($J60="","",$C60-$J60)</f>
        <v/>
      </c>
    </row>
    <row r="61">
      <c r="A61" s="14" t="n"/>
      <c r="B61" s="15" t="n"/>
      <c r="C61" s="15" t="n"/>
      <c r="D61" s="15" t="n">
        <v>0</v>
      </c>
      <c r="E61" s="15" t="n">
        <v>0</v>
      </c>
      <c r="F61" s="16" t="n"/>
      <c r="G61" s="7">
        <f>IF(NOT(ISNUMBER($A61)),"",$B61+$C61)</f>
        <v/>
      </c>
      <c r="H61" s="7">
        <f>IF(OR(NOT(ISNUMBER($A61)),NOT(ISNUMBER($A60))),"",$G60+$D61-$G61-$E61)</f>
        <v/>
      </c>
      <c r="I61" s="7">
        <f>IF($H61="","",$H61-Piano!$B$4)</f>
        <v/>
      </c>
      <c r="J61" s="7">
        <f>IF(NOT(ISNUMBER($A61)),"",IF($A61&lt;=INDEX(Piano!$A$10:$A$18,1),0,IF($A61&gt;=INDEX(Piano!$A$10:$A$18,9),INDEX(Piano!$B$10:$B$18,9),INDEX(Piano!$B$10:$B$18,MATCH($A61,Piano!$A$10:$A$18,1))+($A61-INDEX(Piano!$A$10:$A$18,MATCH($A61,Piano!$A$10:$A$18,1)))/(INDEX(Piano!$A$10:$A$18,MATCH($A61,Piano!$A$10:$A$18,1)+1)-INDEX(Piano!$A$10:$A$18,MATCH($A61,Piano!$A$10:$A$18,1)))*(INDEX(Piano!$B$10:$B$18,MATCH($A61,Piano!$A$10:$A$18,1)+1)-INDEX(Piano!$B$10:$B$18,MATCH($A61,Piano!$A$10:$A$18,1))))))</f>
        <v/>
      </c>
      <c r="K61" s="7">
        <f>IF($J61="","",$C61-$J61)</f>
        <v/>
      </c>
    </row>
    <row r="62">
      <c r="A62" s="14" t="n"/>
      <c r="B62" s="15" t="n"/>
      <c r="C62" s="15" t="n"/>
      <c r="D62" s="15" t="n">
        <v>0</v>
      </c>
      <c r="E62" s="15" t="n">
        <v>0</v>
      </c>
      <c r="F62" s="16" t="n"/>
      <c r="G62" s="7">
        <f>IF(NOT(ISNUMBER($A62)),"",$B62+$C62)</f>
        <v/>
      </c>
      <c r="H62" s="7">
        <f>IF(OR(NOT(ISNUMBER($A62)),NOT(ISNUMBER($A61))),"",$G61+$D62-$G62-$E62)</f>
        <v/>
      </c>
      <c r="I62" s="7">
        <f>IF($H62="","",$H62-Piano!$B$4)</f>
        <v/>
      </c>
      <c r="J62" s="7">
        <f>IF(NOT(ISNUMBER($A62)),"",IF($A62&lt;=INDEX(Piano!$A$10:$A$18,1),0,IF($A62&gt;=INDEX(Piano!$A$10:$A$18,9),INDEX(Piano!$B$10:$B$18,9),INDEX(Piano!$B$10:$B$18,MATCH($A62,Piano!$A$10:$A$18,1))+($A62-INDEX(Piano!$A$10:$A$18,MATCH($A62,Piano!$A$10:$A$18,1)))/(INDEX(Piano!$A$10:$A$18,MATCH($A62,Piano!$A$10:$A$18,1)+1)-INDEX(Piano!$A$10:$A$18,MATCH($A62,Piano!$A$10:$A$18,1)))*(INDEX(Piano!$B$10:$B$18,MATCH($A62,Piano!$A$10:$A$18,1)+1)-INDEX(Piano!$B$10:$B$18,MATCH($A62,Piano!$A$10:$A$18,1))))))</f>
        <v/>
      </c>
      <c r="K62" s="7">
        <f>IF($J62="","",$C62-$J62)</f>
        <v/>
      </c>
    </row>
    <row r="63">
      <c r="A63" s="14" t="n"/>
      <c r="B63" s="15" t="n"/>
      <c r="C63" s="15" t="n"/>
      <c r="D63" s="15" t="n">
        <v>0</v>
      </c>
      <c r="E63" s="15" t="n">
        <v>0</v>
      </c>
      <c r="F63" s="16" t="n"/>
      <c r="G63" s="7">
        <f>IF(NOT(ISNUMBER($A63)),"",$B63+$C63)</f>
        <v/>
      </c>
      <c r="H63" s="7">
        <f>IF(OR(NOT(ISNUMBER($A63)),NOT(ISNUMBER($A62))),"",$G62+$D63-$G63-$E63)</f>
        <v/>
      </c>
      <c r="I63" s="7">
        <f>IF($H63="","",$H63-Piano!$B$4)</f>
        <v/>
      </c>
      <c r="J63" s="7">
        <f>IF(NOT(ISNUMBER($A63)),"",IF($A63&lt;=INDEX(Piano!$A$10:$A$18,1),0,IF($A63&gt;=INDEX(Piano!$A$10:$A$18,9),INDEX(Piano!$B$10:$B$18,9),INDEX(Piano!$B$10:$B$18,MATCH($A63,Piano!$A$10:$A$18,1))+($A63-INDEX(Piano!$A$10:$A$18,MATCH($A63,Piano!$A$10:$A$18,1)))/(INDEX(Piano!$A$10:$A$18,MATCH($A63,Piano!$A$10:$A$18,1)+1)-INDEX(Piano!$A$10:$A$18,MATCH($A63,Piano!$A$10:$A$18,1)))*(INDEX(Piano!$B$10:$B$18,MATCH($A63,Piano!$A$10:$A$18,1)+1)-INDEX(Piano!$B$10:$B$18,MATCH($A63,Piano!$A$10:$A$18,1))))))</f>
        <v/>
      </c>
      <c r="K63" s="7">
        <f>IF($J63="","",$C63-$J63)</f>
        <v/>
      </c>
    </row>
    <row r="64">
      <c r="A64" s="14" t="n"/>
      <c r="B64" s="15" t="n"/>
      <c r="C64" s="15" t="n"/>
      <c r="D64" s="15" t="n">
        <v>0</v>
      </c>
      <c r="E64" s="15" t="n">
        <v>0</v>
      </c>
      <c r="F64" s="16" t="n"/>
      <c r="G64" s="7">
        <f>IF(NOT(ISNUMBER($A64)),"",$B64+$C64)</f>
        <v/>
      </c>
      <c r="H64" s="7">
        <f>IF(OR(NOT(ISNUMBER($A64)),NOT(ISNUMBER($A63))),"",$G63+$D64-$G64-$E64)</f>
        <v/>
      </c>
      <c r="I64" s="7">
        <f>IF($H64="","",$H64-Piano!$B$4)</f>
        <v/>
      </c>
      <c r="J64" s="7">
        <f>IF(NOT(ISNUMBER($A64)),"",IF($A64&lt;=INDEX(Piano!$A$10:$A$18,1),0,IF($A64&gt;=INDEX(Piano!$A$10:$A$18,9),INDEX(Piano!$B$10:$B$18,9),INDEX(Piano!$B$10:$B$18,MATCH($A64,Piano!$A$10:$A$18,1))+($A64-INDEX(Piano!$A$10:$A$18,MATCH($A64,Piano!$A$10:$A$18,1)))/(INDEX(Piano!$A$10:$A$18,MATCH($A64,Piano!$A$10:$A$18,1)+1)-INDEX(Piano!$A$10:$A$18,MATCH($A64,Piano!$A$10:$A$18,1)))*(INDEX(Piano!$B$10:$B$18,MATCH($A64,Piano!$A$10:$A$18,1)+1)-INDEX(Piano!$B$10:$B$18,MATCH($A64,Piano!$A$10:$A$18,1))))))</f>
        <v/>
      </c>
      <c r="K64" s="7">
        <f>IF($J64="","",$C64-$J64)</f>
        <v/>
      </c>
    </row>
    <row r="65">
      <c r="A65" s="14" t="n"/>
      <c r="B65" s="15" t="n"/>
      <c r="C65" s="15" t="n"/>
      <c r="D65" s="15" t="n">
        <v>0</v>
      </c>
      <c r="E65" s="15" t="n">
        <v>0</v>
      </c>
      <c r="F65" s="16" t="n"/>
      <c r="G65" s="7">
        <f>IF(NOT(ISNUMBER($A65)),"",$B65+$C65)</f>
        <v/>
      </c>
      <c r="H65" s="7">
        <f>IF(OR(NOT(ISNUMBER($A65)),NOT(ISNUMBER($A64))),"",$G64+$D65-$G65-$E65)</f>
        <v/>
      </c>
      <c r="I65" s="7">
        <f>IF($H65="","",$H65-Piano!$B$4)</f>
        <v/>
      </c>
      <c r="J65" s="7">
        <f>IF(NOT(ISNUMBER($A65)),"",IF($A65&lt;=INDEX(Piano!$A$10:$A$18,1),0,IF($A65&gt;=INDEX(Piano!$A$10:$A$18,9),INDEX(Piano!$B$10:$B$18,9),INDEX(Piano!$B$10:$B$18,MATCH($A65,Piano!$A$10:$A$18,1))+($A65-INDEX(Piano!$A$10:$A$18,MATCH($A65,Piano!$A$10:$A$18,1)))/(INDEX(Piano!$A$10:$A$18,MATCH($A65,Piano!$A$10:$A$18,1)+1)-INDEX(Piano!$A$10:$A$18,MATCH($A65,Piano!$A$10:$A$18,1)))*(INDEX(Piano!$B$10:$B$18,MATCH($A65,Piano!$A$10:$A$18,1)+1)-INDEX(Piano!$B$10:$B$18,MATCH($A65,Piano!$A$10:$A$18,1))))))</f>
        <v/>
      </c>
      <c r="K65" s="7">
        <f>IF($J65="","",$C65-$J65)</f>
        <v/>
      </c>
    </row>
    <row r="66">
      <c r="A66" s="14" t="n"/>
      <c r="B66" s="15" t="n"/>
      <c r="C66" s="15" t="n"/>
      <c r="D66" s="15" t="n">
        <v>0</v>
      </c>
      <c r="E66" s="15" t="n">
        <v>0</v>
      </c>
      <c r="F66" s="16" t="n"/>
      <c r="G66" s="7">
        <f>IF(NOT(ISNUMBER($A66)),"",$B66+$C66)</f>
        <v/>
      </c>
      <c r="H66" s="7">
        <f>IF(OR(NOT(ISNUMBER($A66)),NOT(ISNUMBER($A65))),"",$G65+$D66-$G66-$E66)</f>
        <v/>
      </c>
      <c r="I66" s="7">
        <f>IF($H66="","",$H66-Piano!$B$4)</f>
        <v/>
      </c>
      <c r="J66" s="7">
        <f>IF(NOT(ISNUMBER($A66)),"",IF($A66&lt;=INDEX(Piano!$A$10:$A$18,1),0,IF($A66&gt;=INDEX(Piano!$A$10:$A$18,9),INDEX(Piano!$B$10:$B$18,9),INDEX(Piano!$B$10:$B$18,MATCH($A66,Piano!$A$10:$A$18,1))+($A66-INDEX(Piano!$A$10:$A$18,MATCH($A66,Piano!$A$10:$A$18,1)))/(INDEX(Piano!$A$10:$A$18,MATCH($A66,Piano!$A$10:$A$18,1)+1)-INDEX(Piano!$A$10:$A$18,MATCH($A66,Piano!$A$10:$A$18,1)))*(INDEX(Piano!$B$10:$B$18,MATCH($A66,Piano!$A$10:$A$18,1)+1)-INDEX(Piano!$B$10:$B$18,MATCH($A66,Piano!$A$10:$A$18,1))))))</f>
        <v/>
      </c>
      <c r="K66" s="7">
        <f>IF($J66="","",$C66-$J66)</f>
        <v/>
      </c>
    </row>
    <row r="67">
      <c r="A67" s="14" t="n"/>
      <c r="B67" s="15" t="n"/>
      <c r="C67" s="15" t="n"/>
      <c r="D67" s="15" t="n">
        <v>0</v>
      </c>
      <c r="E67" s="15" t="n">
        <v>0</v>
      </c>
      <c r="F67" s="16" t="n"/>
      <c r="G67" s="7">
        <f>IF(NOT(ISNUMBER($A67)),"",$B67+$C67)</f>
        <v/>
      </c>
      <c r="H67" s="7">
        <f>IF(OR(NOT(ISNUMBER($A67)),NOT(ISNUMBER($A66))),"",$G66+$D67-$G67-$E67)</f>
        <v/>
      </c>
      <c r="I67" s="7">
        <f>IF($H67="","",$H67-Piano!$B$4)</f>
        <v/>
      </c>
      <c r="J67" s="7">
        <f>IF(NOT(ISNUMBER($A67)),"",IF($A67&lt;=INDEX(Piano!$A$10:$A$18,1),0,IF($A67&gt;=INDEX(Piano!$A$10:$A$18,9),INDEX(Piano!$B$10:$B$18,9),INDEX(Piano!$B$10:$B$18,MATCH($A67,Piano!$A$10:$A$18,1))+($A67-INDEX(Piano!$A$10:$A$18,MATCH($A67,Piano!$A$10:$A$18,1)))/(INDEX(Piano!$A$10:$A$18,MATCH($A67,Piano!$A$10:$A$18,1)+1)-INDEX(Piano!$A$10:$A$18,MATCH($A67,Piano!$A$10:$A$18,1)))*(INDEX(Piano!$B$10:$B$18,MATCH($A67,Piano!$A$10:$A$18,1)+1)-INDEX(Piano!$B$10:$B$18,MATCH($A67,Piano!$A$10:$A$18,1))))))</f>
        <v/>
      </c>
      <c r="K67" s="7">
        <f>IF($J67="","",$C67-$J67)</f>
        <v/>
      </c>
    </row>
    <row r="68">
      <c r="A68" s="14" t="n"/>
      <c r="B68" s="15" t="n"/>
      <c r="C68" s="15" t="n"/>
      <c r="D68" s="15" t="n">
        <v>0</v>
      </c>
      <c r="E68" s="15" t="n">
        <v>0</v>
      </c>
      <c r="F68" s="16" t="n"/>
      <c r="G68" s="7">
        <f>IF(NOT(ISNUMBER($A68)),"",$B68+$C68)</f>
        <v/>
      </c>
      <c r="H68" s="7">
        <f>IF(OR(NOT(ISNUMBER($A68)),NOT(ISNUMBER($A67))),"",$G67+$D68-$G68-$E68)</f>
        <v/>
      </c>
      <c r="I68" s="7">
        <f>IF($H68="","",$H68-Piano!$B$4)</f>
        <v/>
      </c>
      <c r="J68" s="7">
        <f>IF(NOT(ISNUMBER($A68)),"",IF($A68&lt;=INDEX(Piano!$A$10:$A$18,1),0,IF($A68&gt;=INDEX(Piano!$A$10:$A$18,9),INDEX(Piano!$B$10:$B$18,9),INDEX(Piano!$B$10:$B$18,MATCH($A68,Piano!$A$10:$A$18,1))+($A68-INDEX(Piano!$A$10:$A$18,MATCH($A68,Piano!$A$10:$A$18,1)))/(INDEX(Piano!$A$10:$A$18,MATCH($A68,Piano!$A$10:$A$18,1)+1)-INDEX(Piano!$A$10:$A$18,MATCH($A68,Piano!$A$10:$A$18,1)))*(INDEX(Piano!$B$10:$B$18,MATCH($A68,Piano!$A$10:$A$18,1)+1)-INDEX(Piano!$B$10:$B$18,MATCH($A68,Piano!$A$10:$A$18,1))))))</f>
        <v/>
      </c>
      <c r="K68" s="7">
        <f>IF($J68="","",$C68-$J68)</f>
        <v/>
      </c>
    </row>
    <row r="69">
      <c r="A69" s="14" t="n"/>
      <c r="B69" s="15" t="n"/>
      <c r="C69" s="15" t="n"/>
      <c r="D69" s="15" t="n">
        <v>0</v>
      </c>
      <c r="E69" s="15" t="n">
        <v>0</v>
      </c>
      <c r="F69" s="16" t="n"/>
      <c r="G69" s="7">
        <f>IF(NOT(ISNUMBER($A69)),"",$B69+$C69)</f>
        <v/>
      </c>
      <c r="H69" s="7">
        <f>IF(OR(NOT(ISNUMBER($A69)),NOT(ISNUMBER($A68))),"",$G68+$D69-$G69-$E69)</f>
        <v/>
      </c>
      <c r="I69" s="7">
        <f>IF($H69="","",$H69-Piano!$B$4)</f>
        <v/>
      </c>
      <c r="J69" s="7">
        <f>IF(NOT(ISNUMBER($A69)),"",IF($A69&lt;=INDEX(Piano!$A$10:$A$18,1),0,IF($A69&gt;=INDEX(Piano!$A$10:$A$18,9),INDEX(Piano!$B$10:$B$18,9),INDEX(Piano!$B$10:$B$18,MATCH($A69,Piano!$A$10:$A$18,1))+($A69-INDEX(Piano!$A$10:$A$18,MATCH($A69,Piano!$A$10:$A$18,1)))/(INDEX(Piano!$A$10:$A$18,MATCH($A69,Piano!$A$10:$A$18,1)+1)-INDEX(Piano!$A$10:$A$18,MATCH($A69,Piano!$A$10:$A$18,1)))*(INDEX(Piano!$B$10:$B$18,MATCH($A69,Piano!$A$10:$A$18,1)+1)-INDEX(Piano!$B$10:$B$18,MATCH($A69,Piano!$A$10:$A$18,1))))))</f>
        <v/>
      </c>
      <c r="K69" s="7">
        <f>IF($J69="","",$C69-$J69)</f>
        <v/>
      </c>
    </row>
    <row r="70">
      <c r="A70" s="14" t="n"/>
      <c r="B70" s="15" t="n"/>
      <c r="C70" s="15" t="n"/>
      <c r="D70" s="15" t="n">
        <v>0</v>
      </c>
      <c r="E70" s="15" t="n">
        <v>0</v>
      </c>
      <c r="F70" s="16" t="n"/>
      <c r="G70" s="7">
        <f>IF(NOT(ISNUMBER($A70)),"",$B70+$C70)</f>
        <v/>
      </c>
      <c r="H70" s="7">
        <f>IF(OR(NOT(ISNUMBER($A70)),NOT(ISNUMBER($A69))),"",$G69+$D70-$G70-$E70)</f>
        <v/>
      </c>
      <c r="I70" s="7">
        <f>IF($H70="","",$H70-Piano!$B$4)</f>
        <v/>
      </c>
      <c r="J70" s="7">
        <f>IF(NOT(ISNUMBER($A70)),"",IF($A70&lt;=INDEX(Piano!$A$10:$A$18,1),0,IF($A70&gt;=INDEX(Piano!$A$10:$A$18,9),INDEX(Piano!$B$10:$B$18,9),INDEX(Piano!$B$10:$B$18,MATCH($A70,Piano!$A$10:$A$18,1))+($A70-INDEX(Piano!$A$10:$A$18,MATCH($A70,Piano!$A$10:$A$18,1)))/(INDEX(Piano!$A$10:$A$18,MATCH($A70,Piano!$A$10:$A$18,1)+1)-INDEX(Piano!$A$10:$A$18,MATCH($A70,Piano!$A$10:$A$18,1)))*(INDEX(Piano!$B$10:$B$18,MATCH($A70,Piano!$A$10:$A$18,1)+1)-INDEX(Piano!$B$10:$B$18,MATCH($A70,Piano!$A$10:$A$18,1))))))</f>
        <v/>
      </c>
      <c r="K70" s="7">
        <f>IF($J70="","",$C70-$J70)</f>
        <v/>
      </c>
    </row>
    <row r="71">
      <c r="A71" s="14" t="n"/>
      <c r="B71" s="15" t="n"/>
      <c r="C71" s="15" t="n"/>
      <c r="D71" s="15" t="n">
        <v>0</v>
      </c>
      <c r="E71" s="15" t="n">
        <v>0</v>
      </c>
      <c r="F71" s="16" t="n"/>
      <c r="G71" s="7">
        <f>IF(NOT(ISNUMBER($A71)),"",$B71+$C71)</f>
        <v/>
      </c>
      <c r="H71" s="7">
        <f>IF(OR(NOT(ISNUMBER($A71)),NOT(ISNUMBER($A70))),"",$G70+$D71-$G71-$E71)</f>
        <v/>
      </c>
      <c r="I71" s="7">
        <f>IF($H71="","",$H71-Piano!$B$4)</f>
        <v/>
      </c>
      <c r="J71" s="7">
        <f>IF(NOT(ISNUMBER($A71)),"",IF($A71&lt;=INDEX(Piano!$A$10:$A$18,1),0,IF($A71&gt;=INDEX(Piano!$A$10:$A$18,9),INDEX(Piano!$B$10:$B$18,9),INDEX(Piano!$B$10:$B$18,MATCH($A71,Piano!$A$10:$A$18,1))+($A71-INDEX(Piano!$A$10:$A$18,MATCH($A71,Piano!$A$10:$A$18,1)))/(INDEX(Piano!$A$10:$A$18,MATCH($A71,Piano!$A$10:$A$18,1)+1)-INDEX(Piano!$A$10:$A$18,MATCH($A71,Piano!$A$10:$A$18,1)))*(INDEX(Piano!$B$10:$B$18,MATCH($A71,Piano!$A$10:$A$18,1)+1)-INDEX(Piano!$B$10:$B$18,MATCH($A71,Piano!$A$10:$A$18,1))))))</f>
        <v/>
      </c>
      <c r="K71" s="7">
        <f>IF($J71="","",$C71-$J71)</f>
        <v/>
      </c>
    </row>
    <row r="72">
      <c r="A72" s="14" t="n"/>
      <c r="B72" s="15" t="n"/>
      <c r="C72" s="15" t="n"/>
      <c r="D72" s="15" t="n">
        <v>0</v>
      </c>
      <c r="E72" s="15" t="n">
        <v>0</v>
      </c>
      <c r="F72" s="16" t="n"/>
      <c r="G72" s="7">
        <f>IF(NOT(ISNUMBER($A72)),"",$B72+$C72)</f>
        <v/>
      </c>
      <c r="H72" s="7">
        <f>IF(OR(NOT(ISNUMBER($A72)),NOT(ISNUMBER($A71))),"",$G71+$D72-$G72-$E72)</f>
        <v/>
      </c>
      <c r="I72" s="7">
        <f>IF($H72="","",$H72-Piano!$B$4)</f>
        <v/>
      </c>
      <c r="J72" s="7">
        <f>IF(NOT(ISNUMBER($A72)),"",IF($A72&lt;=INDEX(Piano!$A$10:$A$18,1),0,IF($A72&gt;=INDEX(Piano!$A$10:$A$18,9),INDEX(Piano!$B$10:$B$18,9),INDEX(Piano!$B$10:$B$18,MATCH($A72,Piano!$A$10:$A$18,1))+($A72-INDEX(Piano!$A$10:$A$18,MATCH($A72,Piano!$A$10:$A$18,1)))/(INDEX(Piano!$A$10:$A$18,MATCH($A72,Piano!$A$10:$A$18,1)+1)-INDEX(Piano!$A$10:$A$18,MATCH($A72,Piano!$A$10:$A$18,1)))*(INDEX(Piano!$B$10:$B$18,MATCH($A72,Piano!$A$10:$A$18,1)+1)-INDEX(Piano!$B$10:$B$18,MATCH($A72,Piano!$A$10:$A$18,1))))))</f>
        <v/>
      </c>
      <c r="K72" s="7">
        <f>IF($J72="","",$C72-$J72)</f>
        <v/>
      </c>
    </row>
    <row r="73">
      <c r="A73" s="14" t="n"/>
      <c r="B73" s="15" t="n"/>
      <c r="C73" s="15" t="n"/>
      <c r="D73" s="15" t="n">
        <v>0</v>
      </c>
      <c r="E73" s="15" t="n">
        <v>0</v>
      </c>
      <c r="F73" s="16" t="n"/>
      <c r="G73" s="7">
        <f>IF(NOT(ISNUMBER($A73)),"",$B73+$C73)</f>
        <v/>
      </c>
      <c r="H73" s="7">
        <f>IF(OR(NOT(ISNUMBER($A73)),NOT(ISNUMBER($A72))),"",$G72+$D73-$G73-$E73)</f>
        <v/>
      </c>
      <c r="I73" s="7">
        <f>IF($H73="","",$H73-Piano!$B$4)</f>
        <v/>
      </c>
      <c r="J73" s="7">
        <f>IF(NOT(ISNUMBER($A73)),"",IF($A73&lt;=INDEX(Piano!$A$10:$A$18,1),0,IF($A73&gt;=INDEX(Piano!$A$10:$A$18,9),INDEX(Piano!$B$10:$B$18,9),INDEX(Piano!$B$10:$B$18,MATCH($A73,Piano!$A$10:$A$18,1))+($A73-INDEX(Piano!$A$10:$A$18,MATCH($A73,Piano!$A$10:$A$18,1)))/(INDEX(Piano!$A$10:$A$18,MATCH($A73,Piano!$A$10:$A$18,1)+1)-INDEX(Piano!$A$10:$A$18,MATCH($A73,Piano!$A$10:$A$18,1)))*(INDEX(Piano!$B$10:$B$18,MATCH($A73,Piano!$A$10:$A$18,1)+1)-INDEX(Piano!$B$10:$B$18,MATCH($A73,Piano!$A$10:$A$18,1))))))</f>
        <v/>
      </c>
      <c r="K73" s="7">
        <f>IF($J73="","",$C73-$J73)</f>
        <v/>
      </c>
    </row>
    <row r="74">
      <c r="A74" s="14" t="n"/>
      <c r="B74" s="15" t="n"/>
      <c r="C74" s="15" t="n"/>
      <c r="D74" s="15" t="n">
        <v>0</v>
      </c>
      <c r="E74" s="15" t="n">
        <v>0</v>
      </c>
      <c r="F74" s="16" t="n"/>
      <c r="G74" s="7">
        <f>IF(NOT(ISNUMBER($A74)),"",$B74+$C74)</f>
        <v/>
      </c>
      <c r="H74" s="7">
        <f>IF(OR(NOT(ISNUMBER($A74)),NOT(ISNUMBER($A73))),"",$G73+$D74-$G74-$E74)</f>
        <v/>
      </c>
      <c r="I74" s="7">
        <f>IF($H74="","",$H74-Piano!$B$4)</f>
        <v/>
      </c>
      <c r="J74" s="7">
        <f>IF(NOT(ISNUMBER($A74)),"",IF($A74&lt;=INDEX(Piano!$A$10:$A$18,1),0,IF($A74&gt;=INDEX(Piano!$A$10:$A$18,9),INDEX(Piano!$B$10:$B$18,9),INDEX(Piano!$B$10:$B$18,MATCH($A74,Piano!$A$10:$A$18,1))+($A74-INDEX(Piano!$A$10:$A$18,MATCH($A74,Piano!$A$10:$A$18,1)))/(INDEX(Piano!$A$10:$A$18,MATCH($A74,Piano!$A$10:$A$18,1)+1)-INDEX(Piano!$A$10:$A$18,MATCH($A74,Piano!$A$10:$A$18,1)))*(INDEX(Piano!$B$10:$B$18,MATCH($A74,Piano!$A$10:$A$18,1)+1)-INDEX(Piano!$B$10:$B$18,MATCH($A74,Piano!$A$10:$A$18,1))))))</f>
        <v/>
      </c>
      <c r="K74" s="7">
        <f>IF($J74="","",$C74-$J74)</f>
        <v/>
      </c>
    </row>
    <row r="75">
      <c r="A75" s="14" t="n"/>
      <c r="B75" s="15" t="n"/>
      <c r="C75" s="15" t="n"/>
      <c r="D75" s="15" t="n">
        <v>0</v>
      </c>
      <c r="E75" s="15" t="n">
        <v>0</v>
      </c>
      <c r="F75" s="16" t="n"/>
      <c r="G75" s="7">
        <f>IF(NOT(ISNUMBER($A75)),"",$B75+$C75)</f>
        <v/>
      </c>
      <c r="H75" s="7">
        <f>IF(OR(NOT(ISNUMBER($A75)),NOT(ISNUMBER($A74))),"",$G74+$D75-$G75-$E75)</f>
        <v/>
      </c>
      <c r="I75" s="7">
        <f>IF($H75="","",$H75-Piano!$B$4)</f>
        <v/>
      </c>
      <c r="J75" s="7">
        <f>IF(NOT(ISNUMBER($A75)),"",IF($A75&lt;=INDEX(Piano!$A$10:$A$18,1),0,IF($A75&gt;=INDEX(Piano!$A$10:$A$18,9),INDEX(Piano!$B$10:$B$18,9),INDEX(Piano!$B$10:$B$18,MATCH($A75,Piano!$A$10:$A$18,1))+($A75-INDEX(Piano!$A$10:$A$18,MATCH($A75,Piano!$A$10:$A$18,1)))/(INDEX(Piano!$A$10:$A$18,MATCH($A75,Piano!$A$10:$A$18,1)+1)-INDEX(Piano!$A$10:$A$18,MATCH($A75,Piano!$A$10:$A$18,1)))*(INDEX(Piano!$B$10:$B$18,MATCH($A75,Piano!$A$10:$A$18,1)+1)-INDEX(Piano!$B$10:$B$18,MATCH($A75,Piano!$A$10:$A$18,1))))))</f>
        <v/>
      </c>
      <c r="K75" s="7">
        <f>IF($J75="","",$C75-$J75)</f>
        <v/>
      </c>
    </row>
    <row r="76">
      <c r="A76" s="14" t="n"/>
      <c r="B76" s="15" t="n"/>
      <c r="C76" s="15" t="n"/>
      <c r="D76" s="15" t="n">
        <v>0</v>
      </c>
      <c r="E76" s="15" t="n">
        <v>0</v>
      </c>
      <c r="F76" s="16" t="n"/>
      <c r="G76" s="7">
        <f>IF(NOT(ISNUMBER($A76)),"",$B76+$C76)</f>
        <v/>
      </c>
      <c r="H76" s="7">
        <f>IF(OR(NOT(ISNUMBER($A76)),NOT(ISNUMBER($A75))),"",$G75+$D76-$G76-$E76)</f>
        <v/>
      </c>
      <c r="I76" s="7">
        <f>IF($H76="","",$H76-Piano!$B$4)</f>
        <v/>
      </c>
      <c r="J76" s="7">
        <f>IF(NOT(ISNUMBER($A76)),"",IF($A76&lt;=INDEX(Piano!$A$10:$A$18,1),0,IF($A76&gt;=INDEX(Piano!$A$10:$A$18,9),INDEX(Piano!$B$10:$B$18,9),INDEX(Piano!$B$10:$B$18,MATCH($A76,Piano!$A$10:$A$18,1))+($A76-INDEX(Piano!$A$10:$A$18,MATCH($A76,Piano!$A$10:$A$18,1)))/(INDEX(Piano!$A$10:$A$18,MATCH($A76,Piano!$A$10:$A$18,1)+1)-INDEX(Piano!$A$10:$A$18,MATCH($A76,Piano!$A$10:$A$18,1)))*(INDEX(Piano!$B$10:$B$18,MATCH($A76,Piano!$A$10:$A$18,1)+1)-INDEX(Piano!$B$10:$B$18,MATCH($A76,Piano!$A$10:$A$18,1))))))</f>
        <v/>
      </c>
      <c r="K76" s="7">
        <f>IF($J76="","",$C76-$J76)</f>
        <v/>
      </c>
    </row>
    <row r="77">
      <c r="A77" s="14" t="n"/>
      <c r="B77" s="15" t="n"/>
      <c r="C77" s="15" t="n"/>
      <c r="D77" s="15" t="n">
        <v>0</v>
      </c>
      <c r="E77" s="15" t="n">
        <v>0</v>
      </c>
      <c r="F77" s="16" t="n"/>
      <c r="G77" s="7">
        <f>IF(NOT(ISNUMBER($A77)),"",$B77+$C77)</f>
        <v/>
      </c>
      <c r="H77" s="7">
        <f>IF(OR(NOT(ISNUMBER($A77)),NOT(ISNUMBER($A76))),"",$G76+$D77-$G77-$E77)</f>
        <v/>
      </c>
      <c r="I77" s="7">
        <f>IF($H77="","",$H77-Piano!$B$4)</f>
        <v/>
      </c>
      <c r="J77" s="7">
        <f>IF(NOT(ISNUMBER($A77)),"",IF($A77&lt;=INDEX(Piano!$A$10:$A$18,1),0,IF($A77&gt;=INDEX(Piano!$A$10:$A$18,9),INDEX(Piano!$B$10:$B$18,9),INDEX(Piano!$B$10:$B$18,MATCH($A77,Piano!$A$10:$A$18,1))+($A77-INDEX(Piano!$A$10:$A$18,MATCH($A77,Piano!$A$10:$A$18,1)))/(INDEX(Piano!$A$10:$A$18,MATCH($A77,Piano!$A$10:$A$18,1)+1)-INDEX(Piano!$A$10:$A$18,MATCH($A77,Piano!$A$10:$A$18,1)))*(INDEX(Piano!$B$10:$B$18,MATCH($A77,Piano!$A$10:$A$18,1)+1)-INDEX(Piano!$B$10:$B$18,MATCH($A77,Piano!$A$10:$A$18,1))))))</f>
        <v/>
      </c>
      <c r="K77" s="7">
        <f>IF($J77="","",$C77-$J77)</f>
        <v/>
      </c>
    </row>
    <row r="78">
      <c r="A78" s="14" t="n"/>
      <c r="B78" s="15" t="n"/>
      <c r="C78" s="15" t="n"/>
      <c r="D78" s="15" t="n">
        <v>0</v>
      </c>
      <c r="E78" s="15" t="n">
        <v>0</v>
      </c>
      <c r="F78" s="16" t="n"/>
      <c r="G78" s="7">
        <f>IF(NOT(ISNUMBER($A78)),"",$B78+$C78)</f>
        <v/>
      </c>
      <c r="H78" s="7">
        <f>IF(OR(NOT(ISNUMBER($A78)),NOT(ISNUMBER($A77))),"",$G77+$D78-$G78-$E78)</f>
        <v/>
      </c>
      <c r="I78" s="7">
        <f>IF($H78="","",$H78-Piano!$B$4)</f>
        <v/>
      </c>
      <c r="J78" s="7">
        <f>IF(NOT(ISNUMBER($A78)),"",IF($A78&lt;=INDEX(Piano!$A$10:$A$18,1),0,IF($A78&gt;=INDEX(Piano!$A$10:$A$18,9),INDEX(Piano!$B$10:$B$18,9),INDEX(Piano!$B$10:$B$18,MATCH($A78,Piano!$A$10:$A$18,1))+($A78-INDEX(Piano!$A$10:$A$18,MATCH($A78,Piano!$A$10:$A$18,1)))/(INDEX(Piano!$A$10:$A$18,MATCH($A78,Piano!$A$10:$A$18,1)+1)-INDEX(Piano!$A$10:$A$18,MATCH($A78,Piano!$A$10:$A$18,1)))*(INDEX(Piano!$B$10:$B$18,MATCH($A78,Piano!$A$10:$A$18,1)+1)-INDEX(Piano!$B$10:$B$18,MATCH($A78,Piano!$A$10:$A$18,1))))))</f>
        <v/>
      </c>
      <c r="K78" s="7">
        <f>IF($J78="","",$C78-$J78)</f>
        <v/>
      </c>
    </row>
    <row r="79">
      <c r="A79" s="14" t="n"/>
      <c r="B79" s="15" t="n"/>
      <c r="C79" s="15" t="n"/>
      <c r="D79" s="15" t="n">
        <v>0</v>
      </c>
      <c r="E79" s="15" t="n">
        <v>0</v>
      </c>
      <c r="F79" s="16" t="n"/>
      <c r="G79" s="7">
        <f>IF(NOT(ISNUMBER($A79)),"",$B79+$C79)</f>
        <v/>
      </c>
      <c r="H79" s="7">
        <f>IF(OR(NOT(ISNUMBER($A79)),NOT(ISNUMBER($A78))),"",$G78+$D79-$G79-$E79)</f>
        <v/>
      </c>
      <c r="I79" s="7">
        <f>IF($H79="","",$H79-Piano!$B$4)</f>
        <v/>
      </c>
      <c r="J79" s="7">
        <f>IF(NOT(ISNUMBER($A79)),"",IF($A79&lt;=INDEX(Piano!$A$10:$A$18,1),0,IF($A79&gt;=INDEX(Piano!$A$10:$A$18,9),INDEX(Piano!$B$10:$B$18,9),INDEX(Piano!$B$10:$B$18,MATCH($A79,Piano!$A$10:$A$18,1))+($A79-INDEX(Piano!$A$10:$A$18,MATCH($A79,Piano!$A$10:$A$18,1)))/(INDEX(Piano!$A$10:$A$18,MATCH($A79,Piano!$A$10:$A$18,1)+1)-INDEX(Piano!$A$10:$A$18,MATCH($A79,Piano!$A$10:$A$18,1)))*(INDEX(Piano!$B$10:$B$18,MATCH($A79,Piano!$A$10:$A$18,1)+1)-INDEX(Piano!$B$10:$B$18,MATCH($A79,Piano!$A$10:$A$18,1))))))</f>
        <v/>
      </c>
      <c r="K79" s="7">
        <f>IF($J79="","",$C79-$J79)</f>
        <v/>
      </c>
    </row>
    <row r="80">
      <c r="A80" s="14" t="n"/>
      <c r="B80" s="15" t="n"/>
      <c r="C80" s="15" t="n"/>
      <c r="D80" s="15" t="n">
        <v>0</v>
      </c>
      <c r="E80" s="15" t="n">
        <v>0</v>
      </c>
      <c r="F80" s="16" t="n"/>
      <c r="G80" s="7">
        <f>IF(NOT(ISNUMBER($A80)),"",$B80+$C80)</f>
        <v/>
      </c>
      <c r="H80" s="7">
        <f>IF(OR(NOT(ISNUMBER($A80)),NOT(ISNUMBER($A79))),"",$G79+$D80-$G80-$E80)</f>
        <v/>
      </c>
      <c r="I80" s="7">
        <f>IF($H80="","",$H80-Piano!$B$4)</f>
        <v/>
      </c>
      <c r="J80" s="7">
        <f>IF(NOT(ISNUMBER($A80)),"",IF($A80&lt;=INDEX(Piano!$A$10:$A$18,1),0,IF($A80&gt;=INDEX(Piano!$A$10:$A$18,9),INDEX(Piano!$B$10:$B$18,9),INDEX(Piano!$B$10:$B$18,MATCH($A80,Piano!$A$10:$A$18,1))+($A80-INDEX(Piano!$A$10:$A$18,MATCH($A80,Piano!$A$10:$A$18,1)))/(INDEX(Piano!$A$10:$A$18,MATCH($A80,Piano!$A$10:$A$18,1)+1)-INDEX(Piano!$A$10:$A$18,MATCH($A80,Piano!$A$10:$A$18,1)))*(INDEX(Piano!$B$10:$B$18,MATCH($A80,Piano!$A$10:$A$18,1)+1)-INDEX(Piano!$B$10:$B$18,MATCH($A80,Piano!$A$10:$A$18,1))))))</f>
        <v/>
      </c>
      <c r="K80" s="7">
        <f>IF($J80="","",$C80-$J80)</f>
        <v/>
      </c>
    </row>
    <row r="81">
      <c r="A81" s="14" t="n"/>
      <c r="B81" s="15" t="n"/>
      <c r="C81" s="15" t="n"/>
      <c r="D81" s="15" t="n">
        <v>0</v>
      </c>
      <c r="E81" s="15" t="n">
        <v>0</v>
      </c>
      <c r="F81" s="16" t="n"/>
      <c r="G81" s="7">
        <f>IF(NOT(ISNUMBER($A81)),"",$B81+$C81)</f>
        <v/>
      </c>
      <c r="H81" s="7">
        <f>IF(OR(NOT(ISNUMBER($A81)),NOT(ISNUMBER($A80))),"",$G80+$D81-$G81-$E81)</f>
        <v/>
      </c>
      <c r="I81" s="7">
        <f>IF($H81="","",$H81-Piano!$B$4)</f>
        <v/>
      </c>
      <c r="J81" s="7">
        <f>IF(NOT(ISNUMBER($A81)),"",IF($A81&lt;=INDEX(Piano!$A$10:$A$18,1),0,IF($A81&gt;=INDEX(Piano!$A$10:$A$18,9),INDEX(Piano!$B$10:$B$18,9),INDEX(Piano!$B$10:$B$18,MATCH($A81,Piano!$A$10:$A$18,1))+($A81-INDEX(Piano!$A$10:$A$18,MATCH($A81,Piano!$A$10:$A$18,1)))/(INDEX(Piano!$A$10:$A$18,MATCH($A81,Piano!$A$10:$A$18,1)+1)-INDEX(Piano!$A$10:$A$18,MATCH($A81,Piano!$A$10:$A$18,1)))*(INDEX(Piano!$B$10:$B$18,MATCH($A81,Piano!$A$10:$A$18,1)+1)-INDEX(Piano!$B$10:$B$18,MATCH($A81,Piano!$A$10:$A$18,1))))))</f>
        <v/>
      </c>
      <c r="K81" s="7">
        <f>IF($J81="","",$C81-$J81)</f>
        <v/>
      </c>
    </row>
    <row r="82">
      <c r="A82" s="14" t="n"/>
      <c r="B82" s="15" t="n"/>
      <c r="C82" s="15" t="n"/>
      <c r="D82" s="15" t="n">
        <v>0</v>
      </c>
      <c r="E82" s="15" t="n">
        <v>0</v>
      </c>
      <c r="F82" s="16" t="n"/>
      <c r="G82" s="7">
        <f>IF(NOT(ISNUMBER($A82)),"",$B82+$C82)</f>
        <v/>
      </c>
      <c r="H82" s="7">
        <f>IF(OR(NOT(ISNUMBER($A82)),NOT(ISNUMBER($A81))),"",$G81+$D82-$G82-$E82)</f>
        <v/>
      </c>
      <c r="I82" s="7">
        <f>IF($H82="","",$H82-Piano!$B$4)</f>
        <v/>
      </c>
      <c r="J82" s="7">
        <f>IF(NOT(ISNUMBER($A82)),"",IF($A82&lt;=INDEX(Piano!$A$10:$A$18,1),0,IF($A82&gt;=INDEX(Piano!$A$10:$A$18,9),INDEX(Piano!$B$10:$B$18,9),INDEX(Piano!$B$10:$B$18,MATCH($A82,Piano!$A$10:$A$18,1))+($A82-INDEX(Piano!$A$10:$A$18,MATCH($A82,Piano!$A$10:$A$18,1)))/(INDEX(Piano!$A$10:$A$18,MATCH($A82,Piano!$A$10:$A$18,1)+1)-INDEX(Piano!$A$10:$A$18,MATCH($A82,Piano!$A$10:$A$18,1)))*(INDEX(Piano!$B$10:$B$18,MATCH($A82,Piano!$A$10:$A$18,1)+1)-INDEX(Piano!$B$10:$B$18,MATCH($A82,Piano!$A$10:$A$18,1))))))</f>
        <v/>
      </c>
      <c r="K82" s="7">
        <f>IF($J82="","",$C82-$J82)</f>
        <v/>
      </c>
    </row>
    <row r="83">
      <c r="A83" s="14" t="n"/>
      <c r="B83" s="15" t="n"/>
      <c r="C83" s="15" t="n"/>
      <c r="D83" s="15" t="n">
        <v>0</v>
      </c>
      <c r="E83" s="15" t="n">
        <v>0</v>
      </c>
      <c r="F83" s="16" t="n"/>
      <c r="G83" s="7">
        <f>IF(NOT(ISNUMBER($A83)),"",$B83+$C83)</f>
        <v/>
      </c>
      <c r="H83" s="7">
        <f>IF(OR(NOT(ISNUMBER($A83)),NOT(ISNUMBER($A82))),"",$G82+$D83-$G83-$E83)</f>
        <v/>
      </c>
      <c r="I83" s="7">
        <f>IF($H83="","",$H83-Piano!$B$4)</f>
        <v/>
      </c>
      <c r="J83" s="7">
        <f>IF(NOT(ISNUMBER($A83)),"",IF($A83&lt;=INDEX(Piano!$A$10:$A$18,1),0,IF($A83&gt;=INDEX(Piano!$A$10:$A$18,9),INDEX(Piano!$B$10:$B$18,9),INDEX(Piano!$B$10:$B$18,MATCH($A83,Piano!$A$10:$A$18,1))+($A83-INDEX(Piano!$A$10:$A$18,MATCH($A83,Piano!$A$10:$A$18,1)))/(INDEX(Piano!$A$10:$A$18,MATCH($A83,Piano!$A$10:$A$18,1)+1)-INDEX(Piano!$A$10:$A$18,MATCH($A83,Piano!$A$10:$A$18,1)))*(INDEX(Piano!$B$10:$B$18,MATCH($A83,Piano!$A$10:$A$18,1)+1)-INDEX(Piano!$B$10:$B$18,MATCH($A83,Piano!$A$10:$A$18,1))))))</f>
        <v/>
      </c>
      <c r="K83" s="7">
        <f>IF($J83="","",$C83-$J83)</f>
        <v/>
      </c>
    </row>
    <row r="84">
      <c r="A84" s="14" t="n"/>
      <c r="B84" s="15" t="n"/>
      <c r="C84" s="15" t="n"/>
      <c r="D84" s="15" t="n">
        <v>0</v>
      </c>
      <c r="E84" s="15" t="n">
        <v>0</v>
      </c>
      <c r="F84" s="16" t="n"/>
      <c r="G84" s="7">
        <f>IF(NOT(ISNUMBER($A84)),"",$B84+$C84)</f>
        <v/>
      </c>
      <c r="H84" s="7">
        <f>IF(OR(NOT(ISNUMBER($A84)),NOT(ISNUMBER($A83))),"",$G83+$D84-$G84-$E84)</f>
        <v/>
      </c>
      <c r="I84" s="7">
        <f>IF($H84="","",$H84-Piano!$B$4)</f>
        <v/>
      </c>
      <c r="J84" s="7">
        <f>IF(NOT(ISNUMBER($A84)),"",IF($A84&lt;=INDEX(Piano!$A$10:$A$18,1),0,IF($A84&gt;=INDEX(Piano!$A$10:$A$18,9),INDEX(Piano!$B$10:$B$18,9),INDEX(Piano!$B$10:$B$18,MATCH($A84,Piano!$A$10:$A$18,1))+($A84-INDEX(Piano!$A$10:$A$18,MATCH($A84,Piano!$A$10:$A$18,1)))/(INDEX(Piano!$A$10:$A$18,MATCH($A84,Piano!$A$10:$A$18,1)+1)-INDEX(Piano!$A$10:$A$18,MATCH($A84,Piano!$A$10:$A$18,1)))*(INDEX(Piano!$B$10:$B$18,MATCH($A84,Piano!$A$10:$A$18,1)+1)-INDEX(Piano!$B$10:$B$18,MATCH($A84,Piano!$A$10:$A$18,1))))))</f>
        <v/>
      </c>
      <c r="K84" s="7">
        <f>IF($J84="","",$C84-$J84)</f>
        <v/>
      </c>
    </row>
    <row r="85">
      <c r="A85" s="14" t="n"/>
      <c r="B85" s="15" t="n"/>
      <c r="C85" s="15" t="n"/>
      <c r="D85" s="15" t="n">
        <v>0</v>
      </c>
      <c r="E85" s="15" t="n">
        <v>0</v>
      </c>
      <c r="F85" s="16" t="n"/>
      <c r="G85" s="7">
        <f>IF(NOT(ISNUMBER($A85)),"",$B85+$C85)</f>
        <v/>
      </c>
      <c r="H85" s="7">
        <f>IF(OR(NOT(ISNUMBER($A85)),NOT(ISNUMBER($A84))),"",$G84+$D85-$G85-$E85)</f>
        <v/>
      </c>
      <c r="I85" s="7">
        <f>IF($H85="","",$H85-Piano!$B$4)</f>
        <v/>
      </c>
      <c r="J85" s="7">
        <f>IF(NOT(ISNUMBER($A85)),"",IF($A85&lt;=INDEX(Piano!$A$10:$A$18,1),0,IF($A85&gt;=INDEX(Piano!$A$10:$A$18,9),INDEX(Piano!$B$10:$B$18,9),INDEX(Piano!$B$10:$B$18,MATCH($A85,Piano!$A$10:$A$18,1))+($A85-INDEX(Piano!$A$10:$A$18,MATCH($A85,Piano!$A$10:$A$18,1)))/(INDEX(Piano!$A$10:$A$18,MATCH($A85,Piano!$A$10:$A$18,1)+1)-INDEX(Piano!$A$10:$A$18,MATCH($A85,Piano!$A$10:$A$18,1)))*(INDEX(Piano!$B$10:$B$18,MATCH($A85,Piano!$A$10:$A$18,1)+1)-INDEX(Piano!$B$10:$B$18,MATCH($A85,Piano!$A$10:$A$18,1))))))</f>
        <v/>
      </c>
      <c r="K85" s="7">
        <f>IF($J85="","",$C85-$J85)</f>
        <v/>
      </c>
    </row>
    <row r="86">
      <c r="A86" s="14" t="n"/>
      <c r="B86" s="15" t="n"/>
      <c r="C86" s="15" t="n"/>
      <c r="D86" s="15" t="n">
        <v>0</v>
      </c>
      <c r="E86" s="15" t="n">
        <v>0</v>
      </c>
      <c r="F86" s="16" t="n"/>
      <c r="G86" s="7">
        <f>IF(NOT(ISNUMBER($A86)),"",$B86+$C86)</f>
        <v/>
      </c>
      <c r="H86" s="7">
        <f>IF(OR(NOT(ISNUMBER($A86)),NOT(ISNUMBER($A85))),"",$G85+$D86-$G86-$E86)</f>
        <v/>
      </c>
      <c r="I86" s="7">
        <f>IF($H86="","",$H86-Piano!$B$4)</f>
        <v/>
      </c>
      <c r="J86" s="7">
        <f>IF(NOT(ISNUMBER($A86)),"",IF($A86&lt;=INDEX(Piano!$A$10:$A$18,1),0,IF($A86&gt;=INDEX(Piano!$A$10:$A$18,9),INDEX(Piano!$B$10:$B$18,9),INDEX(Piano!$B$10:$B$18,MATCH($A86,Piano!$A$10:$A$18,1))+($A86-INDEX(Piano!$A$10:$A$18,MATCH($A86,Piano!$A$10:$A$18,1)))/(INDEX(Piano!$A$10:$A$18,MATCH($A86,Piano!$A$10:$A$18,1)+1)-INDEX(Piano!$A$10:$A$18,MATCH($A86,Piano!$A$10:$A$18,1)))*(INDEX(Piano!$B$10:$B$18,MATCH($A86,Piano!$A$10:$A$18,1)+1)-INDEX(Piano!$B$10:$B$18,MATCH($A86,Piano!$A$10:$A$18,1))))))</f>
        <v/>
      </c>
      <c r="K86" s="7">
        <f>IF($J86="","",$C86-$J86)</f>
        <v/>
      </c>
    </row>
    <row r="87">
      <c r="A87" s="14" t="n"/>
      <c r="B87" s="15" t="n"/>
      <c r="C87" s="15" t="n"/>
      <c r="D87" s="15" t="n">
        <v>0</v>
      </c>
      <c r="E87" s="15" t="n">
        <v>0</v>
      </c>
      <c r="F87" s="16" t="n"/>
      <c r="G87" s="7">
        <f>IF(NOT(ISNUMBER($A87)),"",$B87+$C87)</f>
        <v/>
      </c>
      <c r="H87" s="7">
        <f>IF(OR(NOT(ISNUMBER($A87)),NOT(ISNUMBER($A86))),"",$G86+$D87-$G87-$E87)</f>
        <v/>
      </c>
      <c r="I87" s="7">
        <f>IF($H87="","",$H87-Piano!$B$4)</f>
        <v/>
      </c>
      <c r="J87" s="7">
        <f>IF(NOT(ISNUMBER($A87)),"",IF($A87&lt;=INDEX(Piano!$A$10:$A$18,1),0,IF($A87&gt;=INDEX(Piano!$A$10:$A$18,9),INDEX(Piano!$B$10:$B$18,9),INDEX(Piano!$B$10:$B$18,MATCH($A87,Piano!$A$10:$A$18,1))+($A87-INDEX(Piano!$A$10:$A$18,MATCH($A87,Piano!$A$10:$A$18,1)))/(INDEX(Piano!$A$10:$A$18,MATCH($A87,Piano!$A$10:$A$18,1)+1)-INDEX(Piano!$A$10:$A$18,MATCH($A87,Piano!$A$10:$A$18,1)))*(INDEX(Piano!$B$10:$B$18,MATCH($A87,Piano!$A$10:$A$18,1)+1)-INDEX(Piano!$B$10:$B$18,MATCH($A87,Piano!$A$10:$A$18,1))))))</f>
        <v/>
      </c>
      <c r="K87" s="7">
        <f>IF($J87="","",$C87-$J87)</f>
        <v/>
      </c>
    </row>
    <row r="88">
      <c r="A88" s="14" t="n"/>
      <c r="B88" s="15" t="n"/>
      <c r="C88" s="15" t="n"/>
      <c r="D88" s="15" t="n">
        <v>0</v>
      </c>
      <c r="E88" s="15" t="n">
        <v>0</v>
      </c>
      <c r="F88" s="16" t="n"/>
      <c r="G88" s="7">
        <f>IF(NOT(ISNUMBER($A88)),"",$B88+$C88)</f>
        <v/>
      </c>
      <c r="H88" s="7">
        <f>IF(OR(NOT(ISNUMBER($A88)),NOT(ISNUMBER($A87))),"",$G87+$D88-$G88-$E88)</f>
        <v/>
      </c>
      <c r="I88" s="7">
        <f>IF($H88="","",$H88-Piano!$B$4)</f>
        <v/>
      </c>
      <c r="J88" s="7">
        <f>IF(NOT(ISNUMBER($A88)),"",IF($A88&lt;=INDEX(Piano!$A$10:$A$18,1),0,IF($A88&gt;=INDEX(Piano!$A$10:$A$18,9),INDEX(Piano!$B$10:$B$18,9),INDEX(Piano!$B$10:$B$18,MATCH($A88,Piano!$A$10:$A$18,1))+($A88-INDEX(Piano!$A$10:$A$18,MATCH($A88,Piano!$A$10:$A$18,1)))/(INDEX(Piano!$A$10:$A$18,MATCH($A88,Piano!$A$10:$A$18,1)+1)-INDEX(Piano!$A$10:$A$18,MATCH($A88,Piano!$A$10:$A$18,1)))*(INDEX(Piano!$B$10:$B$18,MATCH($A88,Piano!$A$10:$A$18,1)+1)-INDEX(Piano!$B$10:$B$18,MATCH($A88,Piano!$A$10:$A$18,1))))))</f>
        <v/>
      </c>
      <c r="K88" s="7">
        <f>IF($J88="","",$C88-$J88)</f>
        <v/>
      </c>
    </row>
    <row r="89">
      <c r="A89" s="14" t="n"/>
      <c r="B89" s="15" t="n"/>
      <c r="C89" s="15" t="n"/>
      <c r="D89" s="15" t="n">
        <v>0</v>
      </c>
      <c r="E89" s="15" t="n">
        <v>0</v>
      </c>
      <c r="F89" s="16" t="n"/>
      <c r="G89" s="7">
        <f>IF(NOT(ISNUMBER($A89)),"",$B89+$C89)</f>
        <v/>
      </c>
      <c r="H89" s="7">
        <f>IF(OR(NOT(ISNUMBER($A89)),NOT(ISNUMBER($A88))),"",$G88+$D89-$G89-$E89)</f>
        <v/>
      </c>
      <c r="I89" s="7">
        <f>IF($H89="","",$H89-Piano!$B$4)</f>
        <v/>
      </c>
      <c r="J89" s="7">
        <f>IF(NOT(ISNUMBER($A89)),"",IF($A89&lt;=INDEX(Piano!$A$10:$A$18,1),0,IF($A89&gt;=INDEX(Piano!$A$10:$A$18,9),INDEX(Piano!$B$10:$B$18,9),INDEX(Piano!$B$10:$B$18,MATCH($A89,Piano!$A$10:$A$18,1))+($A89-INDEX(Piano!$A$10:$A$18,MATCH($A89,Piano!$A$10:$A$18,1)))/(INDEX(Piano!$A$10:$A$18,MATCH($A89,Piano!$A$10:$A$18,1)+1)-INDEX(Piano!$A$10:$A$18,MATCH($A89,Piano!$A$10:$A$18,1)))*(INDEX(Piano!$B$10:$B$18,MATCH($A89,Piano!$A$10:$A$18,1)+1)-INDEX(Piano!$B$10:$B$18,MATCH($A89,Piano!$A$10:$A$18,1))))))</f>
        <v/>
      </c>
      <c r="K89" s="7">
        <f>IF($J89="","",$C89-$J89)</f>
        <v/>
      </c>
    </row>
    <row r="90">
      <c r="A90" s="14" t="n"/>
      <c r="B90" s="15" t="n"/>
      <c r="C90" s="15" t="n"/>
      <c r="D90" s="15" t="n">
        <v>0</v>
      </c>
      <c r="E90" s="15" t="n">
        <v>0</v>
      </c>
      <c r="F90" s="16" t="n"/>
      <c r="G90" s="7">
        <f>IF(NOT(ISNUMBER($A90)),"",$B90+$C90)</f>
        <v/>
      </c>
      <c r="H90" s="7">
        <f>IF(OR(NOT(ISNUMBER($A90)),NOT(ISNUMBER($A89))),"",$G89+$D90-$G90-$E90)</f>
        <v/>
      </c>
      <c r="I90" s="7">
        <f>IF($H90="","",$H90-Piano!$B$4)</f>
        <v/>
      </c>
      <c r="J90" s="7">
        <f>IF(NOT(ISNUMBER($A90)),"",IF($A90&lt;=INDEX(Piano!$A$10:$A$18,1),0,IF($A90&gt;=INDEX(Piano!$A$10:$A$18,9),INDEX(Piano!$B$10:$B$18,9),INDEX(Piano!$B$10:$B$18,MATCH($A90,Piano!$A$10:$A$18,1))+($A90-INDEX(Piano!$A$10:$A$18,MATCH($A90,Piano!$A$10:$A$18,1)))/(INDEX(Piano!$A$10:$A$18,MATCH($A90,Piano!$A$10:$A$18,1)+1)-INDEX(Piano!$A$10:$A$18,MATCH($A90,Piano!$A$10:$A$18,1)))*(INDEX(Piano!$B$10:$B$18,MATCH($A90,Piano!$A$10:$A$18,1)+1)-INDEX(Piano!$B$10:$B$18,MATCH($A90,Piano!$A$10:$A$18,1))))))</f>
        <v/>
      </c>
      <c r="K90" s="7">
        <f>IF($J90="","",$C90-$J90)</f>
        <v/>
      </c>
    </row>
    <row r="91">
      <c r="A91" s="14" t="n"/>
      <c r="B91" s="15" t="n"/>
      <c r="C91" s="15" t="n"/>
      <c r="D91" s="15" t="n">
        <v>0</v>
      </c>
      <c r="E91" s="15" t="n">
        <v>0</v>
      </c>
      <c r="F91" s="16" t="n"/>
      <c r="G91" s="7">
        <f>IF(NOT(ISNUMBER($A91)),"",$B91+$C91)</f>
        <v/>
      </c>
      <c r="H91" s="7">
        <f>IF(OR(NOT(ISNUMBER($A91)),NOT(ISNUMBER($A90))),"",$G90+$D91-$G91-$E91)</f>
        <v/>
      </c>
      <c r="I91" s="7">
        <f>IF($H91="","",$H91-Piano!$B$4)</f>
        <v/>
      </c>
      <c r="J91" s="7">
        <f>IF(NOT(ISNUMBER($A91)),"",IF($A91&lt;=INDEX(Piano!$A$10:$A$18,1),0,IF($A91&gt;=INDEX(Piano!$A$10:$A$18,9),INDEX(Piano!$B$10:$B$18,9),INDEX(Piano!$B$10:$B$18,MATCH($A91,Piano!$A$10:$A$18,1))+($A91-INDEX(Piano!$A$10:$A$18,MATCH($A91,Piano!$A$10:$A$18,1)))/(INDEX(Piano!$A$10:$A$18,MATCH($A91,Piano!$A$10:$A$18,1)+1)-INDEX(Piano!$A$10:$A$18,MATCH($A91,Piano!$A$10:$A$18,1)))*(INDEX(Piano!$B$10:$B$18,MATCH($A91,Piano!$A$10:$A$18,1)+1)-INDEX(Piano!$B$10:$B$18,MATCH($A91,Piano!$A$10:$A$18,1))))))</f>
        <v/>
      </c>
      <c r="K91" s="7">
        <f>IF($J91="","",$C91-$J91)</f>
        <v/>
      </c>
    </row>
    <row r="92">
      <c r="A92" s="14" t="n"/>
      <c r="B92" s="15" t="n"/>
      <c r="C92" s="15" t="n"/>
      <c r="D92" s="15" t="n">
        <v>0</v>
      </c>
      <c r="E92" s="15" t="n">
        <v>0</v>
      </c>
      <c r="F92" s="16" t="n"/>
      <c r="G92" s="7">
        <f>IF(NOT(ISNUMBER($A92)),"",$B92+$C92)</f>
        <v/>
      </c>
      <c r="H92" s="7">
        <f>IF(OR(NOT(ISNUMBER($A92)),NOT(ISNUMBER($A91))),"",$G91+$D92-$G92-$E92)</f>
        <v/>
      </c>
      <c r="I92" s="7">
        <f>IF($H92="","",$H92-Piano!$B$4)</f>
        <v/>
      </c>
      <c r="J92" s="7">
        <f>IF(NOT(ISNUMBER($A92)),"",IF($A92&lt;=INDEX(Piano!$A$10:$A$18,1),0,IF($A92&gt;=INDEX(Piano!$A$10:$A$18,9),INDEX(Piano!$B$10:$B$18,9),INDEX(Piano!$B$10:$B$18,MATCH($A92,Piano!$A$10:$A$18,1))+($A92-INDEX(Piano!$A$10:$A$18,MATCH($A92,Piano!$A$10:$A$18,1)))/(INDEX(Piano!$A$10:$A$18,MATCH($A92,Piano!$A$10:$A$18,1)+1)-INDEX(Piano!$A$10:$A$18,MATCH($A92,Piano!$A$10:$A$18,1)))*(INDEX(Piano!$B$10:$B$18,MATCH($A92,Piano!$A$10:$A$18,1)+1)-INDEX(Piano!$B$10:$B$18,MATCH($A92,Piano!$A$10:$A$18,1))))))</f>
        <v/>
      </c>
      <c r="K92" s="7">
        <f>IF($J92="","",$C92-$J92)</f>
        <v/>
      </c>
    </row>
    <row r="93">
      <c r="A93" s="14" t="n"/>
      <c r="B93" s="15" t="n"/>
      <c r="C93" s="15" t="n"/>
      <c r="D93" s="15" t="n">
        <v>0</v>
      </c>
      <c r="E93" s="15" t="n">
        <v>0</v>
      </c>
      <c r="F93" s="16" t="n"/>
      <c r="G93" s="7">
        <f>IF(NOT(ISNUMBER($A93)),"",$B93+$C93)</f>
        <v/>
      </c>
      <c r="H93" s="7">
        <f>IF(OR(NOT(ISNUMBER($A93)),NOT(ISNUMBER($A92))),"",$G92+$D93-$G93-$E93)</f>
        <v/>
      </c>
      <c r="I93" s="7">
        <f>IF($H93="","",$H93-Piano!$B$4)</f>
        <v/>
      </c>
      <c r="J93" s="7">
        <f>IF(NOT(ISNUMBER($A93)),"",IF($A93&lt;=INDEX(Piano!$A$10:$A$18,1),0,IF($A93&gt;=INDEX(Piano!$A$10:$A$18,9),INDEX(Piano!$B$10:$B$18,9),INDEX(Piano!$B$10:$B$18,MATCH($A93,Piano!$A$10:$A$18,1))+($A93-INDEX(Piano!$A$10:$A$18,MATCH($A93,Piano!$A$10:$A$18,1)))/(INDEX(Piano!$A$10:$A$18,MATCH($A93,Piano!$A$10:$A$18,1)+1)-INDEX(Piano!$A$10:$A$18,MATCH($A93,Piano!$A$10:$A$18,1)))*(INDEX(Piano!$B$10:$B$18,MATCH($A93,Piano!$A$10:$A$18,1)+1)-INDEX(Piano!$B$10:$B$18,MATCH($A93,Piano!$A$10:$A$18,1))))))</f>
        <v/>
      </c>
      <c r="K93" s="7">
        <f>IF($J93="","",$C93-$J93)</f>
        <v/>
      </c>
    </row>
    <row r="94">
      <c r="A94" s="14" t="n"/>
      <c r="B94" s="15" t="n"/>
      <c r="C94" s="15" t="n"/>
      <c r="D94" s="15" t="n">
        <v>0</v>
      </c>
      <c r="E94" s="15" t="n">
        <v>0</v>
      </c>
      <c r="F94" s="16" t="n"/>
      <c r="G94" s="7">
        <f>IF(NOT(ISNUMBER($A94)),"",$B94+$C94)</f>
        <v/>
      </c>
      <c r="H94" s="7">
        <f>IF(OR(NOT(ISNUMBER($A94)),NOT(ISNUMBER($A93))),"",$G93+$D94-$G94-$E94)</f>
        <v/>
      </c>
      <c r="I94" s="7">
        <f>IF($H94="","",$H94-Piano!$B$4)</f>
        <v/>
      </c>
      <c r="J94" s="7">
        <f>IF(NOT(ISNUMBER($A94)),"",IF($A94&lt;=INDEX(Piano!$A$10:$A$18,1),0,IF($A94&gt;=INDEX(Piano!$A$10:$A$18,9),INDEX(Piano!$B$10:$B$18,9),INDEX(Piano!$B$10:$B$18,MATCH($A94,Piano!$A$10:$A$18,1))+($A94-INDEX(Piano!$A$10:$A$18,MATCH($A94,Piano!$A$10:$A$18,1)))/(INDEX(Piano!$A$10:$A$18,MATCH($A94,Piano!$A$10:$A$18,1)+1)-INDEX(Piano!$A$10:$A$18,MATCH($A94,Piano!$A$10:$A$18,1)))*(INDEX(Piano!$B$10:$B$18,MATCH($A94,Piano!$A$10:$A$18,1)+1)-INDEX(Piano!$B$10:$B$18,MATCH($A94,Piano!$A$10:$A$18,1))))))</f>
        <v/>
      </c>
      <c r="K94" s="7">
        <f>IF($J94="","",$C94-$J94)</f>
        <v/>
      </c>
    </row>
    <row r="95">
      <c r="A95" s="14" t="n"/>
      <c r="B95" s="15" t="n"/>
      <c r="C95" s="15" t="n"/>
      <c r="D95" s="15" t="n">
        <v>0</v>
      </c>
      <c r="E95" s="15" t="n">
        <v>0</v>
      </c>
      <c r="F95" s="16" t="n"/>
      <c r="G95" s="7">
        <f>IF(NOT(ISNUMBER($A95)),"",$B95+$C95)</f>
        <v/>
      </c>
      <c r="H95" s="7">
        <f>IF(OR(NOT(ISNUMBER($A95)),NOT(ISNUMBER($A94))),"",$G94+$D95-$G95-$E95)</f>
        <v/>
      </c>
      <c r="I95" s="7">
        <f>IF($H95="","",$H95-Piano!$B$4)</f>
        <v/>
      </c>
      <c r="J95" s="7">
        <f>IF(NOT(ISNUMBER($A95)),"",IF($A95&lt;=INDEX(Piano!$A$10:$A$18,1),0,IF($A95&gt;=INDEX(Piano!$A$10:$A$18,9),INDEX(Piano!$B$10:$B$18,9),INDEX(Piano!$B$10:$B$18,MATCH($A95,Piano!$A$10:$A$18,1))+($A95-INDEX(Piano!$A$10:$A$18,MATCH($A95,Piano!$A$10:$A$18,1)))/(INDEX(Piano!$A$10:$A$18,MATCH($A95,Piano!$A$10:$A$18,1)+1)-INDEX(Piano!$A$10:$A$18,MATCH($A95,Piano!$A$10:$A$18,1)))*(INDEX(Piano!$B$10:$B$18,MATCH($A95,Piano!$A$10:$A$18,1)+1)-INDEX(Piano!$B$10:$B$18,MATCH($A95,Piano!$A$10:$A$18,1))))))</f>
        <v/>
      </c>
      <c r="K95" s="7">
        <f>IF($J95="","",$C95-$J95)</f>
        <v/>
      </c>
    </row>
    <row r="96">
      <c r="A96" s="14" t="n"/>
      <c r="B96" s="15" t="n"/>
      <c r="C96" s="15" t="n"/>
      <c r="D96" s="15" t="n">
        <v>0</v>
      </c>
      <c r="E96" s="15" t="n">
        <v>0</v>
      </c>
      <c r="F96" s="16" t="n"/>
      <c r="G96" s="7">
        <f>IF(NOT(ISNUMBER($A96)),"",$B96+$C96)</f>
        <v/>
      </c>
      <c r="H96" s="7">
        <f>IF(OR(NOT(ISNUMBER($A96)),NOT(ISNUMBER($A95))),"",$G95+$D96-$G96-$E96)</f>
        <v/>
      </c>
      <c r="I96" s="7">
        <f>IF($H96="","",$H96-Piano!$B$4)</f>
        <v/>
      </c>
      <c r="J96" s="7">
        <f>IF(NOT(ISNUMBER($A96)),"",IF($A96&lt;=INDEX(Piano!$A$10:$A$18,1),0,IF($A96&gt;=INDEX(Piano!$A$10:$A$18,9),INDEX(Piano!$B$10:$B$18,9),INDEX(Piano!$B$10:$B$18,MATCH($A96,Piano!$A$10:$A$18,1))+($A96-INDEX(Piano!$A$10:$A$18,MATCH($A96,Piano!$A$10:$A$18,1)))/(INDEX(Piano!$A$10:$A$18,MATCH($A96,Piano!$A$10:$A$18,1)+1)-INDEX(Piano!$A$10:$A$18,MATCH($A96,Piano!$A$10:$A$18,1)))*(INDEX(Piano!$B$10:$B$18,MATCH($A96,Piano!$A$10:$A$18,1)+1)-INDEX(Piano!$B$10:$B$18,MATCH($A96,Piano!$A$10:$A$18,1))))))</f>
        <v/>
      </c>
      <c r="K96" s="7">
        <f>IF($J96="","",$C96-$J96)</f>
        <v/>
      </c>
    </row>
    <row r="97">
      <c r="A97" s="14" t="n"/>
      <c r="B97" s="15" t="n"/>
      <c r="C97" s="15" t="n"/>
      <c r="D97" s="15" t="n">
        <v>0</v>
      </c>
      <c r="E97" s="15" t="n">
        <v>0</v>
      </c>
      <c r="F97" s="16" t="n"/>
      <c r="G97" s="7">
        <f>IF(NOT(ISNUMBER($A97)),"",$B97+$C97)</f>
        <v/>
      </c>
      <c r="H97" s="7">
        <f>IF(OR(NOT(ISNUMBER($A97)),NOT(ISNUMBER($A96))),"",$G96+$D97-$G97-$E97)</f>
        <v/>
      </c>
      <c r="I97" s="7">
        <f>IF($H97="","",$H97-Piano!$B$4)</f>
        <v/>
      </c>
      <c r="J97" s="7">
        <f>IF(NOT(ISNUMBER($A97)),"",IF($A97&lt;=INDEX(Piano!$A$10:$A$18,1),0,IF($A97&gt;=INDEX(Piano!$A$10:$A$18,9),INDEX(Piano!$B$10:$B$18,9),INDEX(Piano!$B$10:$B$18,MATCH($A97,Piano!$A$10:$A$18,1))+($A97-INDEX(Piano!$A$10:$A$18,MATCH($A97,Piano!$A$10:$A$18,1)))/(INDEX(Piano!$A$10:$A$18,MATCH($A97,Piano!$A$10:$A$18,1)+1)-INDEX(Piano!$A$10:$A$18,MATCH($A97,Piano!$A$10:$A$18,1)))*(INDEX(Piano!$B$10:$B$18,MATCH($A97,Piano!$A$10:$A$18,1)+1)-INDEX(Piano!$B$10:$B$18,MATCH($A97,Piano!$A$10:$A$18,1))))))</f>
        <v/>
      </c>
      <c r="K97" s="7">
        <f>IF($J97="","",$C97-$J97)</f>
        <v/>
      </c>
    </row>
    <row r="98">
      <c r="A98" s="14" t="n"/>
      <c r="B98" s="15" t="n"/>
      <c r="C98" s="15" t="n"/>
      <c r="D98" s="15" t="n">
        <v>0</v>
      </c>
      <c r="E98" s="15" t="n">
        <v>0</v>
      </c>
      <c r="F98" s="16" t="n"/>
      <c r="G98" s="7">
        <f>IF(NOT(ISNUMBER($A98)),"",$B98+$C98)</f>
        <v/>
      </c>
      <c r="H98" s="7">
        <f>IF(OR(NOT(ISNUMBER($A98)),NOT(ISNUMBER($A97))),"",$G97+$D98-$G98-$E98)</f>
        <v/>
      </c>
      <c r="I98" s="7">
        <f>IF($H98="","",$H98-Piano!$B$4)</f>
        <v/>
      </c>
      <c r="J98" s="7">
        <f>IF(NOT(ISNUMBER($A98)),"",IF($A98&lt;=INDEX(Piano!$A$10:$A$18,1),0,IF($A98&gt;=INDEX(Piano!$A$10:$A$18,9),INDEX(Piano!$B$10:$B$18,9),INDEX(Piano!$B$10:$B$18,MATCH($A98,Piano!$A$10:$A$18,1))+($A98-INDEX(Piano!$A$10:$A$18,MATCH($A98,Piano!$A$10:$A$18,1)))/(INDEX(Piano!$A$10:$A$18,MATCH($A98,Piano!$A$10:$A$18,1)+1)-INDEX(Piano!$A$10:$A$18,MATCH($A98,Piano!$A$10:$A$18,1)))*(INDEX(Piano!$B$10:$B$18,MATCH($A98,Piano!$A$10:$A$18,1)+1)-INDEX(Piano!$B$10:$B$18,MATCH($A98,Piano!$A$10:$A$18,1))))))</f>
        <v/>
      </c>
      <c r="K98" s="7">
        <f>IF($J98="","",$C98-$J98)</f>
        <v/>
      </c>
    </row>
    <row r="99">
      <c r="A99" s="14" t="n"/>
      <c r="B99" s="15" t="n"/>
      <c r="C99" s="15" t="n"/>
      <c r="D99" s="15" t="n">
        <v>0</v>
      </c>
      <c r="E99" s="15" t="n">
        <v>0</v>
      </c>
      <c r="F99" s="16" t="n"/>
      <c r="G99" s="7">
        <f>IF(NOT(ISNUMBER($A99)),"",$B99+$C99)</f>
        <v/>
      </c>
      <c r="H99" s="7">
        <f>IF(OR(NOT(ISNUMBER($A99)),NOT(ISNUMBER($A98))),"",$G98+$D99-$G99-$E99)</f>
        <v/>
      </c>
      <c r="I99" s="7">
        <f>IF($H99="","",$H99-Piano!$B$4)</f>
        <v/>
      </c>
      <c r="J99" s="7">
        <f>IF(NOT(ISNUMBER($A99)),"",IF($A99&lt;=INDEX(Piano!$A$10:$A$18,1),0,IF($A99&gt;=INDEX(Piano!$A$10:$A$18,9),INDEX(Piano!$B$10:$B$18,9),INDEX(Piano!$B$10:$B$18,MATCH($A99,Piano!$A$10:$A$18,1))+($A99-INDEX(Piano!$A$10:$A$18,MATCH($A99,Piano!$A$10:$A$18,1)))/(INDEX(Piano!$A$10:$A$18,MATCH($A99,Piano!$A$10:$A$18,1)+1)-INDEX(Piano!$A$10:$A$18,MATCH($A99,Piano!$A$10:$A$18,1)))*(INDEX(Piano!$B$10:$B$18,MATCH($A99,Piano!$A$10:$A$18,1)+1)-INDEX(Piano!$B$10:$B$18,MATCH($A99,Piano!$A$10:$A$18,1))))))</f>
        <v/>
      </c>
      <c r="K99" s="7">
        <f>IF($J99="","",$C99-$J99)</f>
        <v/>
      </c>
    </row>
    <row r="100">
      <c r="A100" s="14" t="n"/>
      <c r="B100" s="15" t="n"/>
      <c r="C100" s="15" t="n"/>
      <c r="D100" s="15" t="n">
        <v>0</v>
      </c>
      <c r="E100" s="15" t="n">
        <v>0</v>
      </c>
      <c r="F100" s="16" t="n"/>
      <c r="G100" s="7">
        <f>IF(NOT(ISNUMBER($A100)),"",$B100+$C100)</f>
        <v/>
      </c>
      <c r="H100" s="7">
        <f>IF(OR(NOT(ISNUMBER($A100)),NOT(ISNUMBER($A99))),"",$G99+$D100-$G100-$E100)</f>
        <v/>
      </c>
      <c r="I100" s="7">
        <f>IF($H100="","",$H100-Piano!$B$4)</f>
        <v/>
      </c>
      <c r="J100" s="7">
        <f>IF(NOT(ISNUMBER($A100)),"",IF($A100&lt;=INDEX(Piano!$A$10:$A$18,1),0,IF($A100&gt;=INDEX(Piano!$A$10:$A$18,9),INDEX(Piano!$B$10:$B$18,9),INDEX(Piano!$B$10:$B$18,MATCH($A100,Piano!$A$10:$A$18,1))+($A100-INDEX(Piano!$A$10:$A$18,MATCH($A100,Piano!$A$10:$A$18,1)))/(INDEX(Piano!$A$10:$A$18,MATCH($A100,Piano!$A$10:$A$18,1)+1)-INDEX(Piano!$A$10:$A$18,MATCH($A100,Piano!$A$10:$A$18,1)))*(INDEX(Piano!$B$10:$B$18,MATCH($A100,Piano!$A$10:$A$18,1)+1)-INDEX(Piano!$B$10:$B$18,MATCH($A100,Piano!$A$10:$A$18,1))))))</f>
        <v/>
      </c>
      <c r="K100" s="7">
        <f>IF($J100="","",$C100-$J100)</f>
        <v/>
      </c>
    </row>
    <row r="101">
      <c r="A101" s="14" t="n"/>
      <c r="B101" s="15" t="n"/>
      <c r="C101" s="15" t="n"/>
      <c r="D101" s="15" t="n">
        <v>0</v>
      </c>
      <c r="E101" s="15" t="n">
        <v>0</v>
      </c>
      <c r="F101" s="16" t="n"/>
      <c r="G101" s="7">
        <f>IF(NOT(ISNUMBER($A101)),"",$B101+$C101)</f>
        <v/>
      </c>
      <c r="H101" s="7">
        <f>IF(OR(NOT(ISNUMBER($A101)),NOT(ISNUMBER($A100))),"",$G100+$D101-$G101-$E101)</f>
        <v/>
      </c>
      <c r="I101" s="7">
        <f>IF($H101="","",$H101-Piano!$B$4)</f>
        <v/>
      </c>
      <c r="J101" s="7">
        <f>IF(NOT(ISNUMBER($A101)),"",IF($A101&lt;=INDEX(Piano!$A$10:$A$18,1),0,IF($A101&gt;=INDEX(Piano!$A$10:$A$18,9),INDEX(Piano!$B$10:$B$18,9),INDEX(Piano!$B$10:$B$18,MATCH($A101,Piano!$A$10:$A$18,1))+($A101-INDEX(Piano!$A$10:$A$18,MATCH($A101,Piano!$A$10:$A$18,1)))/(INDEX(Piano!$A$10:$A$18,MATCH($A101,Piano!$A$10:$A$18,1)+1)-INDEX(Piano!$A$10:$A$18,MATCH($A101,Piano!$A$10:$A$18,1)))*(INDEX(Piano!$B$10:$B$18,MATCH($A101,Piano!$A$10:$A$18,1)+1)-INDEX(Piano!$B$10:$B$18,MATCH($A101,Piano!$A$10:$A$18,1))))))</f>
        <v/>
      </c>
      <c r="K101" s="7">
        <f>IF($J101="","",$C101-$J101)</f>
        <v/>
      </c>
    </row>
    <row r="102">
      <c r="A102" s="14" t="n"/>
      <c r="B102" s="15" t="n"/>
      <c r="C102" s="15" t="n"/>
      <c r="D102" s="15" t="n">
        <v>0</v>
      </c>
      <c r="E102" s="15" t="n">
        <v>0</v>
      </c>
      <c r="F102" s="16" t="n"/>
      <c r="G102" s="7">
        <f>IF(NOT(ISNUMBER($A102)),"",$B102+$C102)</f>
        <v/>
      </c>
      <c r="H102" s="7">
        <f>IF(OR(NOT(ISNUMBER($A102)),NOT(ISNUMBER($A101))),"",$G101+$D102-$G102-$E102)</f>
        <v/>
      </c>
      <c r="I102" s="7">
        <f>IF($H102="","",$H102-Piano!$B$4)</f>
        <v/>
      </c>
      <c r="J102" s="7">
        <f>IF(NOT(ISNUMBER($A102)),"",IF($A102&lt;=INDEX(Piano!$A$10:$A$18,1),0,IF($A102&gt;=INDEX(Piano!$A$10:$A$18,9),INDEX(Piano!$B$10:$B$18,9),INDEX(Piano!$B$10:$B$18,MATCH($A102,Piano!$A$10:$A$18,1))+($A102-INDEX(Piano!$A$10:$A$18,MATCH($A102,Piano!$A$10:$A$18,1)))/(INDEX(Piano!$A$10:$A$18,MATCH($A102,Piano!$A$10:$A$18,1)+1)-INDEX(Piano!$A$10:$A$18,MATCH($A102,Piano!$A$10:$A$18,1)))*(INDEX(Piano!$B$10:$B$18,MATCH($A102,Piano!$A$10:$A$18,1)+1)-INDEX(Piano!$B$10:$B$18,MATCH($A102,Piano!$A$10:$A$18,1))))))</f>
        <v/>
      </c>
      <c r="K102" s="7">
        <f>IF($J102="","",$C102-$J102)</f>
        <v/>
      </c>
    </row>
    <row r="103">
      <c r="A103" s="14" t="n"/>
      <c r="B103" s="15" t="n"/>
      <c r="C103" s="15" t="n"/>
      <c r="D103" s="15" t="n">
        <v>0</v>
      </c>
      <c r="E103" s="15" t="n">
        <v>0</v>
      </c>
      <c r="F103" s="16" t="n"/>
      <c r="G103" s="7">
        <f>IF(NOT(ISNUMBER($A103)),"",$B103+$C103)</f>
        <v/>
      </c>
      <c r="H103" s="7">
        <f>IF(OR(NOT(ISNUMBER($A103)),NOT(ISNUMBER($A102))),"",$G102+$D103-$G103-$E103)</f>
        <v/>
      </c>
      <c r="I103" s="7">
        <f>IF($H103="","",$H103-Piano!$B$4)</f>
        <v/>
      </c>
      <c r="J103" s="7">
        <f>IF(NOT(ISNUMBER($A103)),"",IF($A103&lt;=INDEX(Piano!$A$10:$A$18,1),0,IF($A103&gt;=INDEX(Piano!$A$10:$A$18,9),INDEX(Piano!$B$10:$B$18,9),INDEX(Piano!$B$10:$B$18,MATCH($A103,Piano!$A$10:$A$18,1))+($A103-INDEX(Piano!$A$10:$A$18,MATCH($A103,Piano!$A$10:$A$18,1)))/(INDEX(Piano!$A$10:$A$18,MATCH($A103,Piano!$A$10:$A$18,1)+1)-INDEX(Piano!$A$10:$A$18,MATCH($A103,Piano!$A$10:$A$18,1)))*(INDEX(Piano!$B$10:$B$18,MATCH($A103,Piano!$A$10:$A$18,1)+1)-INDEX(Piano!$B$10:$B$18,MATCH($A103,Piano!$A$10:$A$18,1))))))</f>
        <v/>
      </c>
      <c r="K103" s="7">
        <f>IF($J103="","",$C103-$J103)</f>
        <v/>
      </c>
    </row>
    <row r="104">
      <c r="A104" s="14" t="n"/>
      <c r="B104" s="15" t="n"/>
      <c r="C104" s="15" t="n"/>
      <c r="D104" s="15" t="n">
        <v>0</v>
      </c>
      <c r="E104" s="15" t="n">
        <v>0</v>
      </c>
      <c r="F104" s="16" t="n"/>
      <c r="G104" s="7">
        <f>IF(NOT(ISNUMBER($A104)),"",$B104+$C104)</f>
        <v/>
      </c>
      <c r="H104" s="7">
        <f>IF(OR(NOT(ISNUMBER($A104)),NOT(ISNUMBER($A103))),"",$G103+$D104-$G104-$E104)</f>
        <v/>
      </c>
      <c r="I104" s="7">
        <f>IF($H104="","",$H104-Piano!$B$4)</f>
        <v/>
      </c>
      <c r="J104" s="7">
        <f>IF(NOT(ISNUMBER($A104)),"",IF($A104&lt;=INDEX(Piano!$A$10:$A$18,1),0,IF($A104&gt;=INDEX(Piano!$A$10:$A$18,9),INDEX(Piano!$B$10:$B$18,9),INDEX(Piano!$B$10:$B$18,MATCH($A104,Piano!$A$10:$A$18,1))+($A104-INDEX(Piano!$A$10:$A$18,MATCH($A104,Piano!$A$10:$A$18,1)))/(INDEX(Piano!$A$10:$A$18,MATCH($A104,Piano!$A$10:$A$18,1)+1)-INDEX(Piano!$A$10:$A$18,MATCH($A104,Piano!$A$10:$A$18,1)))*(INDEX(Piano!$B$10:$B$18,MATCH($A104,Piano!$A$10:$A$18,1)+1)-INDEX(Piano!$B$10:$B$18,MATCH($A104,Piano!$A$10:$A$18,1))))))</f>
        <v/>
      </c>
      <c r="K104" s="7">
        <f>IF($J104="","",$C104-$J104)</f>
        <v/>
      </c>
    </row>
    <row r="105">
      <c r="A105" s="14" t="n"/>
      <c r="B105" s="15" t="n"/>
      <c r="C105" s="15" t="n"/>
      <c r="D105" s="15" t="n">
        <v>0</v>
      </c>
      <c r="E105" s="15" t="n">
        <v>0</v>
      </c>
      <c r="F105" s="16" t="n"/>
      <c r="G105" s="7">
        <f>IF(NOT(ISNUMBER($A105)),"",$B105+$C105)</f>
        <v/>
      </c>
      <c r="H105" s="7">
        <f>IF(OR(NOT(ISNUMBER($A105)),NOT(ISNUMBER($A104))),"",$G104+$D105-$G105-$E105)</f>
        <v/>
      </c>
      <c r="I105" s="7">
        <f>IF($H105="","",$H105-Piano!$B$4)</f>
        <v/>
      </c>
      <c r="J105" s="7">
        <f>IF(NOT(ISNUMBER($A105)),"",IF($A105&lt;=INDEX(Piano!$A$10:$A$18,1),0,IF($A105&gt;=INDEX(Piano!$A$10:$A$18,9),INDEX(Piano!$B$10:$B$18,9),INDEX(Piano!$B$10:$B$18,MATCH($A105,Piano!$A$10:$A$18,1))+($A105-INDEX(Piano!$A$10:$A$18,MATCH($A105,Piano!$A$10:$A$18,1)))/(INDEX(Piano!$A$10:$A$18,MATCH($A105,Piano!$A$10:$A$18,1)+1)-INDEX(Piano!$A$10:$A$18,MATCH($A105,Piano!$A$10:$A$18,1)))*(INDEX(Piano!$B$10:$B$18,MATCH($A105,Piano!$A$10:$A$18,1)+1)-INDEX(Piano!$B$10:$B$18,MATCH($A105,Piano!$A$10:$A$18,1))))))</f>
        <v/>
      </c>
      <c r="K105" s="7">
        <f>IF($J105="","",$C105-$J105)</f>
        <v/>
      </c>
    </row>
    <row r="106">
      <c r="A106" s="14" t="n"/>
      <c r="B106" s="15" t="n"/>
      <c r="C106" s="15" t="n"/>
      <c r="D106" s="15" t="n">
        <v>0</v>
      </c>
      <c r="E106" s="15" t="n">
        <v>0</v>
      </c>
      <c r="F106" s="16" t="n"/>
      <c r="G106" s="7">
        <f>IF(NOT(ISNUMBER($A106)),"",$B106+$C106)</f>
        <v/>
      </c>
      <c r="H106" s="7">
        <f>IF(OR(NOT(ISNUMBER($A106)),NOT(ISNUMBER($A105))),"",$G105+$D106-$G106-$E106)</f>
        <v/>
      </c>
      <c r="I106" s="7">
        <f>IF($H106="","",$H106-Piano!$B$4)</f>
        <v/>
      </c>
      <c r="J106" s="7">
        <f>IF(NOT(ISNUMBER($A106)),"",IF($A106&lt;=INDEX(Piano!$A$10:$A$18,1),0,IF($A106&gt;=INDEX(Piano!$A$10:$A$18,9),INDEX(Piano!$B$10:$B$18,9),INDEX(Piano!$B$10:$B$18,MATCH($A106,Piano!$A$10:$A$18,1))+($A106-INDEX(Piano!$A$10:$A$18,MATCH($A106,Piano!$A$10:$A$18,1)))/(INDEX(Piano!$A$10:$A$18,MATCH($A106,Piano!$A$10:$A$18,1)+1)-INDEX(Piano!$A$10:$A$18,MATCH($A106,Piano!$A$10:$A$18,1)))*(INDEX(Piano!$B$10:$B$18,MATCH($A106,Piano!$A$10:$A$18,1)+1)-INDEX(Piano!$B$10:$B$18,MATCH($A106,Piano!$A$10:$A$18,1))))))</f>
        <v/>
      </c>
      <c r="K106" s="7">
        <f>IF($J106="","",$C106-$J106)</f>
        <v/>
      </c>
    </row>
    <row r="107">
      <c r="A107" s="14" t="n"/>
      <c r="B107" s="15" t="n"/>
      <c r="C107" s="15" t="n"/>
      <c r="D107" s="15" t="n">
        <v>0</v>
      </c>
      <c r="E107" s="15" t="n">
        <v>0</v>
      </c>
      <c r="F107" s="16" t="n"/>
      <c r="G107" s="7">
        <f>IF(NOT(ISNUMBER($A107)),"",$B107+$C107)</f>
        <v/>
      </c>
      <c r="H107" s="7">
        <f>IF(OR(NOT(ISNUMBER($A107)),NOT(ISNUMBER($A106))),"",$G106+$D107-$G107-$E107)</f>
        <v/>
      </c>
      <c r="I107" s="7">
        <f>IF($H107="","",$H107-Piano!$B$4)</f>
        <v/>
      </c>
      <c r="J107" s="7">
        <f>IF(NOT(ISNUMBER($A107)),"",IF($A107&lt;=INDEX(Piano!$A$10:$A$18,1),0,IF($A107&gt;=INDEX(Piano!$A$10:$A$18,9),INDEX(Piano!$B$10:$B$18,9),INDEX(Piano!$B$10:$B$18,MATCH($A107,Piano!$A$10:$A$18,1))+($A107-INDEX(Piano!$A$10:$A$18,MATCH($A107,Piano!$A$10:$A$18,1)))/(INDEX(Piano!$A$10:$A$18,MATCH($A107,Piano!$A$10:$A$18,1)+1)-INDEX(Piano!$A$10:$A$18,MATCH($A107,Piano!$A$10:$A$18,1)))*(INDEX(Piano!$B$10:$B$18,MATCH($A107,Piano!$A$10:$A$18,1)+1)-INDEX(Piano!$B$10:$B$18,MATCH($A107,Piano!$A$10:$A$18,1))))))</f>
        <v/>
      </c>
      <c r="K107" s="7">
        <f>IF($J107="","",$C107-$J107)</f>
        <v/>
      </c>
    </row>
    <row r="108">
      <c r="A108" s="14" t="n"/>
      <c r="B108" s="15" t="n"/>
      <c r="C108" s="15" t="n"/>
      <c r="D108" s="15" t="n">
        <v>0</v>
      </c>
      <c r="E108" s="15" t="n">
        <v>0</v>
      </c>
      <c r="F108" s="16" t="n"/>
      <c r="G108" s="7">
        <f>IF(NOT(ISNUMBER($A108)),"",$B108+$C108)</f>
        <v/>
      </c>
      <c r="H108" s="7">
        <f>IF(OR(NOT(ISNUMBER($A108)),NOT(ISNUMBER($A107))),"",$G107+$D108-$G108-$E108)</f>
        <v/>
      </c>
      <c r="I108" s="7">
        <f>IF($H108="","",$H108-Piano!$B$4)</f>
        <v/>
      </c>
      <c r="J108" s="7">
        <f>IF(NOT(ISNUMBER($A108)),"",IF($A108&lt;=INDEX(Piano!$A$10:$A$18,1),0,IF($A108&gt;=INDEX(Piano!$A$10:$A$18,9),INDEX(Piano!$B$10:$B$18,9),INDEX(Piano!$B$10:$B$18,MATCH($A108,Piano!$A$10:$A$18,1))+($A108-INDEX(Piano!$A$10:$A$18,MATCH($A108,Piano!$A$10:$A$18,1)))/(INDEX(Piano!$A$10:$A$18,MATCH($A108,Piano!$A$10:$A$18,1)+1)-INDEX(Piano!$A$10:$A$18,MATCH($A108,Piano!$A$10:$A$18,1)))*(INDEX(Piano!$B$10:$B$18,MATCH($A108,Piano!$A$10:$A$18,1)+1)-INDEX(Piano!$B$10:$B$18,MATCH($A108,Piano!$A$10:$A$18,1))))))</f>
        <v/>
      </c>
      <c r="K108" s="7">
        <f>IF($J108="","",$C108-$J108)</f>
        <v/>
      </c>
    </row>
    <row r="109">
      <c r="A109" s="14" t="n"/>
      <c r="B109" s="15" t="n"/>
      <c r="C109" s="15" t="n"/>
      <c r="D109" s="15" t="n">
        <v>0</v>
      </c>
      <c r="E109" s="15" t="n">
        <v>0</v>
      </c>
      <c r="F109" s="16" t="n"/>
      <c r="G109" s="7">
        <f>IF(NOT(ISNUMBER($A109)),"",$B109+$C109)</f>
        <v/>
      </c>
      <c r="H109" s="7">
        <f>IF(OR(NOT(ISNUMBER($A109)),NOT(ISNUMBER($A108))),"",$G108+$D109-$G109-$E109)</f>
        <v/>
      </c>
      <c r="I109" s="7">
        <f>IF($H109="","",$H109-Piano!$B$4)</f>
        <v/>
      </c>
      <c r="J109" s="7">
        <f>IF(NOT(ISNUMBER($A109)),"",IF($A109&lt;=INDEX(Piano!$A$10:$A$18,1),0,IF($A109&gt;=INDEX(Piano!$A$10:$A$18,9),INDEX(Piano!$B$10:$B$18,9),INDEX(Piano!$B$10:$B$18,MATCH($A109,Piano!$A$10:$A$18,1))+($A109-INDEX(Piano!$A$10:$A$18,MATCH($A109,Piano!$A$10:$A$18,1)))/(INDEX(Piano!$A$10:$A$18,MATCH($A109,Piano!$A$10:$A$18,1)+1)-INDEX(Piano!$A$10:$A$18,MATCH($A109,Piano!$A$10:$A$18,1)))*(INDEX(Piano!$B$10:$B$18,MATCH($A109,Piano!$A$10:$A$18,1)+1)-INDEX(Piano!$B$10:$B$18,MATCH($A109,Piano!$A$10:$A$18,1))))))</f>
        <v/>
      </c>
      <c r="K109" s="7">
        <f>IF($J109="","",$C109-$J109)</f>
        <v/>
      </c>
    </row>
    <row r="110">
      <c r="A110" s="14" t="n"/>
      <c r="B110" s="15" t="n"/>
      <c r="C110" s="15" t="n"/>
      <c r="D110" s="15" t="n">
        <v>0</v>
      </c>
      <c r="E110" s="15" t="n">
        <v>0</v>
      </c>
      <c r="F110" s="16" t="n"/>
      <c r="G110" s="7">
        <f>IF(NOT(ISNUMBER($A110)),"",$B110+$C110)</f>
        <v/>
      </c>
      <c r="H110" s="7">
        <f>IF(OR(NOT(ISNUMBER($A110)),NOT(ISNUMBER($A109))),"",$G109+$D110-$G110-$E110)</f>
        <v/>
      </c>
      <c r="I110" s="7">
        <f>IF($H110="","",$H110-Piano!$B$4)</f>
        <v/>
      </c>
      <c r="J110" s="7">
        <f>IF(NOT(ISNUMBER($A110)),"",IF($A110&lt;=INDEX(Piano!$A$10:$A$18,1),0,IF($A110&gt;=INDEX(Piano!$A$10:$A$18,9),INDEX(Piano!$B$10:$B$18,9),INDEX(Piano!$B$10:$B$18,MATCH($A110,Piano!$A$10:$A$18,1))+($A110-INDEX(Piano!$A$10:$A$18,MATCH($A110,Piano!$A$10:$A$18,1)))/(INDEX(Piano!$A$10:$A$18,MATCH($A110,Piano!$A$10:$A$18,1)+1)-INDEX(Piano!$A$10:$A$18,MATCH($A110,Piano!$A$10:$A$18,1)))*(INDEX(Piano!$B$10:$B$18,MATCH($A110,Piano!$A$10:$A$18,1)+1)-INDEX(Piano!$B$10:$B$18,MATCH($A110,Piano!$A$10:$A$18,1))))))</f>
        <v/>
      </c>
      <c r="K110" s="7">
        <f>IF($J110="","",$C110-$J110)</f>
        <v/>
      </c>
    </row>
    <row r="111">
      <c r="A111" s="14" t="n"/>
      <c r="B111" s="15" t="n"/>
      <c r="C111" s="15" t="n"/>
      <c r="D111" s="15" t="n">
        <v>0</v>
      </c>
      <c r="E111" s="15" t="n">
        <v>0</v>
      </c>
      <c r="F111" s="16" t="n"/>
      <c r="G111" s="7">
        <f>IF(NOT(ISNUMBER($A111)),"",$B111+$C111)</f>
        <v/>
      </c>
      <c r="H111" s="7">
        <f>IF(OR(NOT(ISNUMBER($A111)),NOT(ISNUMBER($A110))),"",$G110+$D111-$G111-$E111)</f>
        <v/>
      </c>
      <c r="I111" s="7">
        <f>IF($H111="","",$H111-Piano!$B$4)</f>
        <v/>
      </c>
      <c r="J111" s="7">
        <f>IF(NOT(ISNUMBER($A111)),"",IF($A111&lt;=INDEX(Piano!$A$10:$A$18,1),0,IF($A111&gt;=INDEX(Piano!$A$10:$A$18,9),INDEX(Piano!$B$10:$B$18,9),INDEX(Piano!$B$10:$B$18,MATCH($A111,Piano!$A$10:$A$18,1))+($A111-INDEX(Piano!$A$10:$A$18,MATCH($A111,Piano!$A$10:$A$18,1)))/(INDEX(Piano!$A$10:$A$18,MATCH($A111,Piano!$A$10:$A$18,1)+1)-INDEX(Piano!$A$10:$A$18,MATCH($A111,Piano!$A$10:$A$18,1)))*(INDEX(Piano!$B$10:$B$18,MATCH($A111,Piano!$A$10:$A$18,1)+1)-INDEX(Piano!$B$10:$B$18,MATCH($A111,Piano!$A$10:$A$18,1))))))</f>
        <v/>
      </c>
      <c r="K111" s="7">
        <f>IF($J111="","",$C111-$J111)</f>
        <v/>
      </c>
    </row>
    <row r="112">
      <c r="A112" s="14" t="n"/>
      <c r="B112" s="15" t="n"/>
      <c r="C112" s="15" t="n"/>
      <c r="D112" s="15" t="n">
        <v>0</v>
      </c>
      <c r="E112" s="15" t="n">
        <v>0</v>
      </c>
      <c r="F112" s="16" t="n"/>
      <c r="G112" s="7">
        <f>IF(NOT(ISNUMBER($A112)),"",$B112+$C112)</f>
        <v/>
      </c>
      <c r="H112" s="7">
        <f>IF(OR(NOT(ISNUMBER($A112)),NOT(ISNUMBER($A111))),"",$G111+$D112-$G112-$E112)</f>
        <v/>
      </c>
      <c r="I112" s="7">
        <f>IF($H112="","",$H112-Piano!$B$4)</f>
        <v/>
      </c>
      <c r="J112" s="7">
        <f>IF(NOT(ISNUMBER($A112)),"",IF($A112&lt;=INDEX(Piano!$A$10:$A$18,1),0,IF($A112&gt;=INDEX(Piano!$A$10:$A$18,9),INDEX(Piano!$B$10:$B$18,9),INDEX(Piano!$B$10:$B$18,MATCH($A112,Piano!$A$10:$A$18,1))+($A112-INDEX(Piano!$A$10:$A$18,MATCH($A112,Piano!$A$10:$A$18,1)))/(INDEX(Piano!$A$10:$A$18,MATCH($A112,Piano!$A$10:$A$18,1)+1)-INDEX(Piano!$A$10:$A$18,MATCH($A112,Piano!$A$10:$A$18,1)))*(INDEX(Piano!$B$10:$B$18,MATCH($A112,Piano!$A$10:$A$18,1)+1)-INDEX(Piano!$B$10:$B$18,MATCH($A112,Piano!$A$10:$A$18,1))))))</f>
        <v/>
      </c>
      <c r="K112" s="7">
        <f>IF($J112="","",$C112-$J112)</f>
        <v/>
      </c>
    </row>
    <row r="113">
      <c r="A113" s="14" t="n"/>
      <c r="B113" s="15" t="n"/>
      <c r="C113" s="15" t="n"/>
      <c r="D113" s="15" t="n">
        <v>0</v>
      </c>
      <c r="E113" s="15" t="n">
        <v>0</v>
      </c>
      <c r="F113" s="16" t="n"/>
      <c r="G113" s="7">
        <f>IF(NOT(ISNUMBER($A113)),"",$B113+$C113)</f>
        <v/>
      </c>
      <c r="H113" s="7">
        <f>IF(OR(NOT(ISNUMBER($A113)),NOT(ISNUMBER($A112))),"",$G112+$D113-$G113-$E113)</f>
        <v/>
      </c>
      <c r="I113" s="7">
        <f>IF($H113="","",$H113-Piano!$B$4)</f>
        <v/>
      </c>
      <c r="J113" s="7">
        <f>IF(NOT(ISNUMBER($A113)),"",IF($A113&lt;=INDEX(Piano!$A$10:$A$18,1),0,IF($A113&gt;=INDEX(Piano!$A$10:$A$18,9),INDEX(Piano!$B$10:$B$18,9),INDEX(Piano!$B$10:$B$18,MATCH($A113,Piano!$A$10:$A$18,1))+($A113-INDEX(Piano!$A$10:$A$18,MATCH($A113,Piano!$A$10:$A$18,1)))/(INDEX(Piano!$A$10:$A$18,MATCH($A113,Piano!$A$10:$A$18,1)+1)-INDEX(Piano!$A$10:$A$18,MATCH($A113,Piano!$A$10:$A$18,1)))*(INDEX(Piano!$B$10:$B$18,MATCH($A113,Piano!$A$10:$A$18,1)+1)-INDEX(Piano!$B$10:$B$18,MATCH($A113,Piano!$A$10:$A$18,1))))))</f>
        <v/>
      </c>
      <c r="K113" s="7">
        <f>IF($J113="","",$C113-$J113)</f>
        <v/>
      </c>
    </row>
    <row r="114">
      <c r="A114" s="14" t="n"/>
      <c r="B114" s="15" t="n"/>
      <c r="C114" s="15" t="n"/>
      <c r="D114" s="15" t="n">
        <v>0</v>
      </c>
      <c r="E114" s="15" t="n">
        <v>0</v>
      </c>
      <c r="F114" s="16" t="n"/>
      <c r="G114" s="7">
        <f>IF(NOT(ISNUMBER($A114)),"",$B114+$C114)</f>
        <v/>
      </c>
      <c r="H114" s="7">
        <f>IF(OR(NOT(ISNUMBER($A114)),NOT(ISNUMBER($A113))),"",$G113+$D114-$G114-$E114)</f>
        <v/>
      </c>
      <c r="I114" s="7">
        <f>IF($H114="","",$H114-Piano!$B$4)</f>
        <v/>
      </c>
      <c r="J114" s="7">
        <f>IF(NOT(ISNUMBER($A114)),"",IF($A114&lt;=INDEX(Piano!$A$10:$A$18,1),0,IF($A114&gt;=INDEX(Piano!$A$10:$A$18,9),INDEX(Piano!$B$10:$B$18,9),INDEX(Piano!$B$10:$B$18,MATCH($A114,Piano!$A$10:$A$18,1))+($A114-INDEX(Piano!$A$10:$A$18,MATCH($A114,Piano!$A$10:$A$18,1)))/(INDEX(Piano!$A$10:$A$18,MATCH($A114,Piano!$A$10:$A$18,1)+1)-INDEX(Piano!$A$10:$A$18,MATCH($A114,Piano!$A$10:$A$18,1)))*(INDEX(Piano!$B$10:$B$18,MATCH($A114,Piano!$A$10:$A$18,1)+1)-INDEX(Piano!$B$10:$B$18,MATCH($A114,Piano!$A$10:$A$18,1))))))</f>
        <v/>
      </c>
      <c r="K114" s="7">
        <f>IF($J114="","",$C114-$J114)</f>
        <v/>
      </c>
    </row>
    <row r="115">
      <c r="A115" s="14" t="n"/>
      <c r="B115" s="15" t="n"/>
      <c r="C115" s="15" t="n"/>
      <c r="D115" s="15" t="n">
        <v>0</v>
      </c>
      <c r="E115" s="15" t="n">
        <v>0</v>
      </c>
      <c r="F115" s="16" t="n"/>
      <c r="G115" s="7">
        <f>IF(NOT(ISNUMBER($A115)),"",$B115+$C115)</f>
        <v/>
      </c>
      <c r="H115" s="7">
        <f>IF(OR(NOT(ISNUMBER($A115)),NOT(ISNUMBER($A114))),"",$G114+$D115-$G115-$E115)</f>
        <v/>
      </c>
      <c r="I115" s="7">
        <f>IF($H115="","",$H115-Piano!$B$4)</f>
        <v/>
      </c>
      <c r="J115" s="7">
        <f>IF(NOT(ISNUMBER($A115)),"",IF($A115&lt;=INDEX(Piano!$A$10:$A$18,1),0,IF($A115&gt;=INDEX(Piano!$A$10:$A$18,9),INDEX(Piano!$B$10:$B$18,9),INDEX(Piano!$B$10:$B$18,MATCH($A115,Piano!$A$10:$A$18,1))+($A115-INDEX(Piano!$A$10:$A$18,MATCH($A115,Piano!$A$10:$A$18,1)))/(INDEX(Piano!$A$10:$A$18,MATCH($A115,Piano!$A$10:$A$18,1)+1)-INDEX(Piano!$A$10:$A$18,MATCH($A115,Piano!$A$10:$A$18,1)))*(INDEX(Piano!$B$10:$B$18,MATCH($A115,Piano!$A$10:$A$18,1)+1)-INDEX(Piano!$B$10:$B$18,MATCH($A115,Piano!$A$10:$A$18,1))))))</f>
        <v/>
      </c>
      <c r="K115" s="7">
        <f>IF($J115="","",$C115-$J115)</f>
        <v/>
      </c>
    </row>
    <row r="116">
      <c r="A116" s="14" t="n"/>
      <c r="B116" s="15" t="n"/>
      <c r="C116" s="15" t="n"/>
      <c r="D116" s="15" t="n">
        <v>0</v>
      </c>
      <c r="E116" s="15" t="n">
        <v>0</v>
      </c>
      <c r="F116" s="16" t="n"/>
      <c r="G116" s="7">
        <f>IF(NOT(ISNUMBER($A116)),"",$B116+$C116)</f>
        <v/>
      </c>
      <c r="H116" s="7">
        <f>IF(OR(NOT(ISNUMBER($A116)),NOT(ISNUMBER($A115))),"",$G115+$D116-$G116-$E116)</f>
        <v/>
      </c>
      <c r="I116" s="7">
        <f>IF($H116="","",$H116-Piano!$B$4)</f>
        <v/>
      </c>
      <c r="J116" s="7">
        <f>IF(NOT(ISNUMBER($A116)),"",IF($A116&lt;=INDEX(Piano!$A$10:$A$18,1),0,IF($A116&gt;=INDEX(Piano!$A$10:$A$18,9),INDEX(Piano!$B$10:$B$18,9),INDEX(Piano!$B$10:$B$18,MATCH($A116,Piano!$A$10:$A$18,1))+($A116-INDEX(Piano!$A$10:$A$18,MATCH($A116,Piano!$A$10:$A$18,1)))/(INDEX(Piano!$A$10:$A$18,MATCH($A116,Piano!$A$10:$A$18,1)+1)-INDEX(Piano!$A$10:$A$18,MATCH($A116,Piano!$A$10:$A$18,1)))*(INDEX(Piano!$B$10:$B$18,MATCH($A116,Piano!$A$10:$A$18,1)+1)-INDEX(Piano!$B$10:$B$18,MATCH($A116,Piano!$A$10:$A$18,1))))))</f>
        <v/>
      </c>
      <c r="K116" s="7">
        <f>IF($J116="","",$C116-$J116)</f>
        <v/>
      </c>
    </row>
    <row r="117">
      <c r="A117" s="14" t="n"/>
      <c r="B117" s="15" t="n"/>
      <c r="C117" s="15" t="n"/>
      <c r="D117" s="15" t="n">
        <v>0</v>
      </c>
      <c r="E117" s="15" t="n">
        <v>0</v>
      </c>
      <c r="F117" s="16" t="n"/>
      <c r="G117" s="7">
        <f>IF(NOT(ISNUMBER($A117)),"",$B117+$C117)</f>
        <v/>
      </c>
      <c r="H117" s="7">
        <f>IF(OR(NOT(ISNUMBER($A117)),NOT(ISNUMBER($A116))),"",$G116+$D117-$G117-$E117)</f>
        <v/>
      </c>
      <c r="I117" s="7">
        <f>IF($H117="","",$H117-Piano!$B$4)</f>
        <v/>
      </c>
      <c r="J117" s="7">
        <f>IF(NOT(ISNUMBER($A117)),"",IF($A117&lt;=INDEX(Piano!$A$10:$A$18,1),0,IF($A117&gt;=INDEX(Piano!$A$10:$A$18,9),INDEX(Piano!$B$10:$B$18,9),INDEX(Piano!$B$10:$B$18,MATCH($A117,Piano!$A$10:$A$18,1))+($A117-INDEX(Piano!$A$10:$A$18,MATCH($A117,Piano!$A$10:$A$18,1)))/(INDEX(Piano!$A$10:$A$18,MATCH($A117,Piano!$A$10:$A$18,1)+1)-INDEX(Piano!$A$10:$A$18,MATCH($A117,Piano!$A$10:$A$18,1)))*(INDEX(Piano!$B$10:$B$18,MATCH($A117,Piano!$A$10:$A$18,1)+1)-INDEX(Piano!$B$10:$B$18,MATCH($A117,Piano!$A$10:$A$18,1))))))</f>
        <v/>
      </c>
      <c r="K117" s="7">
        <f>IF($J117="","",$C117-$J117)</f>
        <v/>
      </c>
    </row>
    <row r="118">
      <c r="A118" s="14" t="n"/>
      <c r="B118" s="15" t="n"/>
      <c r="C118" s="15" t="n"/>
      <c r="D118" s="15" t="n">
        <v>0</v>
      </c>
      <c r="E118" s="15" t="n">
        <v>0</v>
      </c>
      <c r="F118" s="16" t="n"/>
      <c r="G118" s="7">
        <f>IF(NOT(ISNUMBER($A118)),"",$B118+$C118)</f>
        <v/>
      </c>
      <c r="H118" s="7">
        <f>IF(OR(NOT(ISNUMBER($A118)),NOT(ISNUMBER($A117))),"",$G117+$D118-$G118-$E118)</f>
        <v/>
      </c>
      <c r="I118" s="7">
        <f>IF($H118="","",$H118-Piano!$B$4)</f>
        <v/>
      </c>
      <c r="J118" s="7">
        <f>IF(NOT(ISNUMBER($A118)),"",IF($A118&lt;=INDEX(Piano!$A$10:$A$18,1),0,IF($A118&gt;=INDEX(Piano!$A$10:$A$18,9),INDEX(Piano!$B$10:$B$18,9),INDEX(Piano!$B$10:$B$18,MATCH($A118,Piano!$A$10:$A$18,1))+($A118-INDEX(Piano!$A$10:$A$18,MATCH($A118,Piano!$A$10:$A$18,1)))/(INDEX(Piano!$A$10:$A$18,MATCH($A118,Piano!$A$10:$A$18,1)+1)-INDEX(Piano!$A$10:$A$18,MATCH($A118,Piano!$A$10:$A$18,1)))*(INDEX(Piano!$B$10:$B$18,MATCH($A118,Piano!$A$10:$A$18,1)+1)-INDEX(Piano!$B$10:$B$18,MATCH($A118,Piano!$A$10:$A$18,1))))))</f>
        <v/>
      </c>
      <c r="K118" s="7">
        <f>IF($J118="","",$C118-$J118)</f>
        <v/>
      </c>
    </row>
    <row r="119">
      <c r="A119" s="14" t="n"/>
      <c r="B119" s="15" t="n"/>
      <c r="C119" s="15" t="n"/>
      <c r="D119" s="15" t="n">
        <v>0</v>
      </c>
      <c r="E119" s="15" t="n">
        <v>0</v>
      </c>
      <c r="F119" s="16" t="n"/>
      <c r="G119" s="7">
        <f>IF(NOT(ISNUMBER($A119)),"",$B119+$C119)</f>
        <v/>
      </c>
      <c r="H119" s="7">
        <f>IF(OR(NOT(ISNUMBER($A119)),NOT(ISNUMBER($A118))),"",$G118+$D119-$G119-$E119)</f>
        <v/>
      </c>
      <c r="I119" s="7">
        <f>IF($H119="","",$H119-Piano!$B$4)</f>
        <v/>
      </c>
      <c r="J119" s="7">
        <f>IF(NOT(ISNUMBER($A119)),"",IF($A119&lt;=INDEX(Piano!$A$10:$A$18,1),0,IF($A119&gt;=INDEX(Piano!$A$10:$A$18,9),INDEX(Piano!$B$10:$B$18,9),INDEX(Piano!$B$10:$B$18,MATCH($A119,Piano!$A$10:$A$18,1))+($A119-INDEX(Piano!$A$10:$A$18,MATCH($A119,Piano!$A$10:$A$18,1)))/(INDEX(Piano!$A$10:$A$18,MATCH($A119,Piano!$A$10:$A$18,1)+1)-INDEX(Piano!$A$10:$A$18,MATCH($A119,Piano!$A$10:$A$18,1)))*(INDEX(Piano!$B$10:$B$18,MATCH($A119,Piano!$A$10:$A$18,1)+1)-INDEX(Piano!$B$10:$B$18,MATCH($A119,Piano!$A$10:$A$18,1))))))</f>
        <v/>
      </c>
      <c r="K119" s="7">
        <f>IF($J119="","",$C119-$J119)</f>
        <v/>
      </c>
    </row>
    <row r="120">
      <c r="A120" s="14" t="n"/>
      <c r="B120" s="15" t="n"/>
      <c r="C120" s="15" t="n"/>
      <c r="D120" s="15" t="n">
        <v>0</v>
      </c>
      <c r="E120" s="15" t="n">
        <v>0</v>
      </c>
      <c r="F120" s="16" t="n"/>
      <c r="G120" s="7">
        <f>IF(NOT(ISNUMBER($A120)),"",$B120+$C120)</f>
        <v/>
      </c>
      <c r="H120" s="7">
        <f>IF(OR(NOT(ISNUMBER($A120)),NOT(ISNUMBER($A119))),"",$G119+$D120-$G120-$E120)</f>
        <v/>
      </c>
      <c r="I120" s="7">
        <f>IF($H120="","",$H120-Piano!$B$4)</f>
        <v/>
      </c>
      <c r="J120" s="7">
        <f>IF(NOT(ISNUMBER($A120)),"",IF($A120&lt;=INDEX(Piano!$A$10:$A$18,1),0,IF($A120&gt;=INDEX(Piano!$A$10:$A$18,9),INDEX(Piano!$B$10:$B$18,9),INDEX(Piano!$B$10:$B$18,MATCH($A120,Piano!$A$10:$A$18,1))+($A120-INDEX(Piano!$A$10:$A$18,MATCH($A120,Piano!$A$10:$A$18,1)))/(INDEX(Piano!$A$10:$A$18,MATCH($A120,Piano!$A$10:$A$18,1)+1)-INDEX(Piano!$A$10:$A$18,MATCH($A120,Piano!$A$10:$A$18,1)))*(INDEX(Piano!$B$10:$B$18,MATCH($A120,Piano!$A$10:$A$18,1)+1)-INDEX(Piano!$B$10:$B$18,MATCH($A120,Piano!$A$10:$A$18,1))))))</f>
        <v/>
      </c>
      <c r="K120" s="7">
        <f>IF($J120="","",$C120-$J120)</f>
        <v/>
      </c>
    </row>
    <row r="121">
      <c r="A121" s="14" t="n"/>
      <c r="B121" s="15" t="n"/>
      <c r="C121" s="15" t="n"/>
      <c r="D121" s="15" t="n">
        <v>0</v>
      </c>
      <c r="E121" s="15" t="n">
        <v>0</v>
      </c>
      <c r="F121" s="16" t="n"/>
      <c r="G121" s="7">
        <f>IF(NOT(ISNUMBER($A121)),"",$B121+$C121)</f>
        <v/>
      </c>
      <c r="H121" s="7">
        <f>IF(OR(NOT(ISNUMBER($A121)),NOT(ISNUMBER($A120))),"",$G120+$D121-$G121-$E121)</f>
        <v/>
      </c>
      <c r="I121" s="7">
        <f>IF($H121="","",$H121-Piano!$B$4)</f>
        <v/>
      </c>
      <c r="J121" s="7">
        <f>IF(NOT(ISNUMBER($A121)),"",IF($A121&lt;=INDEX(Piano!$A$10:$A$18,1),0,IF($A121&gt;=INDEX(Piano!$A$10:$A$18,9),INDEX(Piano!$B$10:$B$18,9),INDEX(Piano!$B$10:$B$18,MATCH($A121,Piano!$A$10:$A$18,1))+($A121-INDEX(Piano!$A$10:$A$18,MATCH($A121,Piano!$A$10:$A$18,1)))/(INDEX(Piano!$A$10:$A$18,MATCH($A121,Piano!$A$10:$A$18,1)+1)-INDEX(Piano!$A$10:$A$18,MATCH($A121,Piano!$A$10:$A$18,1)))*(INDEX(Piano!$B$10:$B$18,MATCH($A121,Piano!$A$10:$A$18,1)+1)-INDEX(Piano!$B$10:$B$18,MATCH($A121,Piano!$A$10:$A$18,1))))))</f>
        <v/>
      </c>
      <c r="K121" s="7">
        <f>IF($J121="","",$C121-$J121)</f>
        <v/>
      </c>
    </row>
    <row r="122">
      <c r="A122" s="14" t="n"/>
      <c r="B122" s="15" t="n"/>
      <c r="C122" s="15" t="n"/>
      <c r="D122" s="15" t="n">
        <v>0</v>
      </c>
      <c r="E122" s="15" t="n">
        <v>0</v>
      </c>
      <c r="F122" s="16" t="n"/>
      <c r="G122" s="7">
        <f>IF(NOT(ISNUMBER($A122)),"",$B122+$C122)</f>
        <v/>
      </c>
      <c r="H122" s="7">
        <f>IF(OR(NOT(ISNUMBER($A122)),NOT(ISNUMBER($A121))),"",$G121+$D122-$G122-$E122)</f>
        <v/>
      </c>
      <c r="I122" s="7">
        <f>IF($H122="","",$H122-Piano!$B$4)</f>
        <v/>
      </c>
      <c r="J122" s="7">
        <f>IF(NOT(ISNUMBER($A122)),"",IF($A122&lt;=INDEX(Piano!$A$10:$A$18,1),0,IF($A122&gt;=INDEX(Piano!$A$10:$A$18,9),INDEX(Piano!$B$10:$B$18,9),INDEX(Piano!$B$10:$B$18,MATCH($A122,Piano!$A$10:$A$18,1))+($A122-INDEX(Piano!$A$10:$A$18,MATCH($A122,Piano!$A$10:$A$18,1)))/(INDEX(Piano!$A$10:$A$18,MATCH($A122,Piano!$A$10:$A$18,1)+1)-INDEX(Piano!$A$10:$A$18,MATCH($A122,Piano!$A$10:$A$18,1)))*(INDEX(Piano!$B$10:$B$18,MATCH($A122,Piano!$A$10:$A$18,1)+1)-INDEX(Piano!$B$10:$B$18,MATCH($A122,Piano!$A$10:$A$18,1))))))</f>
        <v/>
      </c>
      <c r="K122" s="7">
        <f>IF($J122="","",$C122-$J122)</f>
        <v/>
      </c>
    </row>
    <row r="123">
      <c r="A123" s="14" t="n"/>
      <c r="B123" s="15" t="n"/>
      <c r="C123" s="15" t="n"/>
      <c r="D123" s="15" t="n">
        <v>0</v>
      </c>
      <c r="E123" s="15" t="n">
        <v>0</v>
      </c>
      <c r="F123" s="16" t="n"/>
      <c r="G123" s="7">
        <f>IF(NOT(ISNUMBER($A123)),"",$B123+$C123)</f>
        <v/>
      </c>
      <c r="H123" s="7">
        <f>IF(OR(NOT(ISNUMBER($A123)),NOT(ISNUMBER($A122))),"",$G122+$D123-$G123-$E123)</f>
        <v/>
      </c>
      <c r="I123" s="7">
        <f>IF($H123="","",$H123-Piano!$B$4)</f>
        <v/>
      </c>
      <c r="J123" s="7">
        <f>IF(NOT(ISNUMBER($A123)),"",IF($A123&lt;=INDEX(Piano!$A$10:$A$18,1),0,IF($A123&gt;=INDEX(Piano!$A$10:$A$18,9),INDEX(Piano!$B$10:$B$18,9),INDEX(Piano!$B$10:$B$18,MATCH($A123,Piano!$A$10:$A$18,1))+($A123-INDEX(Piano!$A$10:$A$18,MATCH($A123,Piano!$A$10:$A$18,1)))/(INDEX(Piano!$A$10:$A$18,MATCH($A123,Piano!$A$10:$A$18,1)+1)-INDEX(Piano!$A$10:$A$18,MATCH($A123,Piano!$A$10:$A$18,1)))*(INDEX(Piano!$B$10:$B$18,MATCH($A123,Piano!$A$10:$A$18,1)+1)-INDEX(Piano!$B$10:$B$18,MATCH($A123,Piano!$A$10:$A$18,1))))))</f>
        <v/>
      </c>
      <c r="K123" s="7">
        <f>IF($J123="","",$C123-$J123)</f>
        <v/>
      </c>
    </row>
    <row r="124">
      <c r="A124" s="14" t="n"/>
      <c r="B124" s="15" t="n"/>
      <c r="C124" s="15" t="n"/>
      <c r="D124" s="15" t="n">
        <v>0</v>
      </c>
      <c r="E124" s="15" t="n">
        <v>0</v>
      </c>
      <c r="F124" s="16" t="n"/>
      <c r="G124" s="7">
        <f>IF(NOT(ISNUMBER($A124)),"",$B124+$C124)</f>
        <v/>
      </c>
      <c r="H124" s="7">
        <f>IF(OR(NOT(ISNUMBER($A124)),NOT(ISNUMBER($A123))),"",$G123+$D124-$G124-$E124)</f>
        <v/>
      </c>
      <c r="I124" s="7">
        <f>IF($H124="","",$H124-Piano!$B$4)</f>
        <v/>
      </c>
      <c r="J124" s="7">
        <f>IF(NOT(ISNUMBER($A124)),"",IF($A124&lt;=INDEX(Piano!$A$10:$A$18,1),0,IF($A124&gt;=INDEX(Piano!$A$10:$A$18,9),INDEX(Piano!$B$10:$B$18,9),INDEX(Piano!$B$10:$B$18,MATCH($A124,Piano!$A$10:$A$18,1))+($A124-INDEX(Piano!$A$10:$A$18,MATCH($A124,Piano!$A$10:$A$18,1)))/(INDEX(Piano!$A$10:$A$18,MATCH($A124,Piano!$A$10:$A$18,1)+1)-INDEX(Piano!$A$10:$A$18,MATCH($A124,Piano!$A$10:$A$18,1)))*(INDEX(Piano!$B$10:$B$18,MATCH($A124,Piano!$A$10:$A$18,1)+1)-INDEX(Piano!$B$10:$B$18,MATCH($A124,Piano!$A$10:$A$18,1))))))</f>
        <v/>
      </c>
      <c r="K124" s="7">
        <f>IF($J124="","",$C124-$J124)</f>
        <v/>
      </c>
    </row>
    <row r="125">
      <c r="A125" s="14" t="n"/>
      <c r="B125" s="15" t="n"/>
      <c r="C125" s="15" t="n"/>
      <c r="D125" s="15" t="n">
        <v>0</v>
      </c>
      <c r="E125" s="15" t="n">
        <v>0</v>
      </c>
      <c r="F125" s="16" t="n"/>
      <c r="G125" s="7">
        <f>IF(NOT(ISNUMBER($A125)),"",$B125+$C125)</f>
        <v/>
      </c>
      <c r="H125" s="7">
        <f>IF(OR(NOT(ISNUMBER($A125)),NOT(ISNUMBER($A124))),"",$G124+$D125-$G125-$E125)</f>
        <v/>
      </c>
      <c r="I125" s="7">
        <f>IF($H125="","",$H125-Piano!$B$4)</f>
        <v/>
      </c>
      <c r="J125" s="7">
        <f>IF(NOT(ISNUMBER($A125)),"",IF($A125&lt;=INDEX(Piano!$A$10:$A$18,1),0,IF($A125&gt;=INDEX(Piano!$A$10:$A$18,9),INDEX(Piano!$B$10:$B$18,9),INDEX(Piano!$B$10:$B$18,MATCH($A125,Piano!$A$10:$A$18,1))+($A125-INDEX(Piano!$A$10:$A$18,MATCH($A125,Piano!$A$10:$A$18,1)))/(INDEX(Piano!$A$10:$A$18,MATCH($A125,Piano!$A$10:$A$18,1)+1)-INDEX(Piano!$A$10:$A$18,MATCH($A125,Piano!$A$10:$A$18,1)))*(INDEX(Piano!$B$10:$B$18,MATCH($A125,Piano!$A$10:$A$18,1)+1)-INDEX(Piano!$B$10:$B$18,MATCH($A125,Piano!$A$10:$A$18,1))))))</f>
        <v/>
      </c>
      <c r="K125" s="7">
        <f>IF($J125="","",$C125-$J125)</f>
        <v/>
      </c>
    </row>
    <row r="126">
      <c r="A126" s="14" t="n"/>
      <c r="B126" s="15" t="n"/>
      <c r="C126" s="15" t="n"/>
      <c r="D126" s="15" t="n">
        <v>0</v>
      </c>
      <c r="E126" s="15" t="n">
        <v>0</v>
      </c>
      <c r="F126" s="16" t="n"/>
      <c r="G126" s="7">
        <f>IF(NOT(ISNUMBER($A126)),"",$B126+$C126)</f>
        <v/>
      </c>
      <c r="H126" s="7">
        <f>IF(OR(NOT(ISNUMBER($A126)),NOT(ISNUMBER($A125))),"",$G125+$D126-$G126-$E126)</f>
        <v/>
      </c>
      <c r="I126" s="7">
        <f>IF($H126="","",$H126-Piano!$B$4)</f>
        <v/>
      </c>
      <c r="J126" s="7">
        <f>IF(NOT(ISNUMBER($A126)),"",IF($A126&lt;=INDEX(Piano!$A$10:$A$18,1),0,IF($A126&gt;=INDEX(Piano!$A$10:$A$18,9),INDEX(Piano!$B$10:$B$18,9),INDEX(Piano!$B$10:$B$18,MATCH($A126,Piano!$A$10:$A$18,1))+($A126-INDEX(Piano!$A$10:$A$18,MATCH($A126,Piano!$A$10:$A$18,1)))/(INDEX(Piano!$A$10:$A$18,MATCH($A126,Piano!$A$10:$A$18,1)+1)-INDEX(Piano!$A$10:$A$18,MATCH($A126,Piano!$A$10:$A$18,1)))*(INDEX(Piano!$B$10:$B$18,MATCH($A126,Piano!$A$10:$A$18,1)+1)-INDEX(Piano!$B$10:$B$18,MATCH($A126,Piano!$A$10:$A$18,1))))))</f>
        <v/>
      </c>
      <c r="K126" s="7">
        <f>IF($J126="","",$C126-$J126)</f>
        <v/>
      </c>
    </row>
    <row r="127">
      <c r="A127" s="14" t="n"/>
      <c r="B127" s="15" t="n"/>
      <c r="C127" s="15" t="n"/>
      <c r="D127" s="15" t="n">
        <v>0</v>
      </c>
      <c r="E127" s="15" t="n">
        <v>0</v>
      </c>
      <c r="F127" s="16" t="n"/>
      <c r="G127" s="7">
        <f>IF(NOT(ISNUMBER($A127)),"",$B127+$C127)</f>
        <v/>
      </c>
      <c r="H127" s="7">
        <f>IF(OR(NOT(ISNUMBER($A127)),NOT(ISNUMBER($A126))),"",$G126+$D127-$G127-$E127)</f>
        <v/>
      </c>
      <c r="I127" s="7">
        <f>IF($H127="","",$H127-Piano!$B$4)</f>
        <v/>
      </c>
      <c r="J127" s="7">
        <f>IF(NOT(ISNUMBER($A127)),"",IF($A127&lt;=INDEX(Piano!$A$10:$A$18,1),0,IF($A127&gt;=INDEX(Piano!$A$10:$A$18,9),INDEX(Piano!$B$10:$B$18,9),INDEX(Piano!$B$10:$B$18,MATCH($A127,Piano!$A$10:$A$18,1))+($A127-INDEX(Piano!$A$10:$A$18,MATCH($A127,Piano!$A$10:$A$18,1)))/(INDEX(Piano!$A$10:$A$18,MATCH($A127,Piano!$A$10:$A$18,1)+1)-INDEX(Piano!$A$10:$A$18,MATCH($A127,Piano!$A$10:$A$18,1)))*(INDEX(Piano!$B$10:$B$18,MATCH($A127,Piano!$A$10:$A$18,1)+1)-INDEX(Piano!$B$10:$B$18,MATCH($A127,Piano!$A$10:$A$18,1))))))</f>
        <v/>
      </c>
      <c r="K127" s="7">
        <f>IF($J127="","",$C127-$J127)</f>
        <v/>
      </c>
    </row>
    <row r="128">
      <c r="A128" s="14" t="n"/>
      <c r="B128" s="15" t="n"/>
      <c r="C128" s="15" t="n"/>
      <c r="D128" s="15" t="n">
        <v>0</v>
      </c>
      <c r="E128" s="15" t="n">
        <v>0</v>
      </c>
      <c r="F128" s="16" t="n"/>
      <c r="G128" s="7">
        <f>IF(NOT(ISNUMBER($A128)),"",$B128+$C128)</f>
        <v/>
      </c>
      <c r="H128" s="7">
        <f>IF(OR(NOT(ISNUMBER($A128)),NOT(ISNUMBER($A127))),"",$G127+$D128-$G128-$E128)</f>
        <v/>
      </c>
      <c r="I128" s="7">
        <f>IF($H128="","",$H128-Piano!$B$4)</f>
        <v/>
      </c>
      <c r="J128" s="7">
        <f>IF(NOT(ISNUMBER($A128)),"",IF($A128&lt;=INDEX(Piano!$A$10:$A$18,1),0,IF($A128&gt;=INDEX(Piano!$A$10:$A$18,9),INDEX(Piano!$B$10:$B$18,9),INDEX(Piano!$B$10:$B$18,MATCH($A128,Piano!$A$10:$A$18,1))+($A128-INDEX(Piano!$A$10:$A$18,MATCH($A128,Piano!$A$10:$A$18,1)))/(INDEX(Piano!$A$10:$A$18,MATCH($A128,Piano!$A$10:$A$18,1)+1)-INDEX(Piano!$A$10:$A$18,MATCH($A128,Piano!$A$10:$A$18,1)))*(INDEX(Piano!$B$10:$B$18,MATCH($A128,Piano!$A$10:$A$18,1)+1)-INDEX(Piano!$B$10:$B$18,MATCH($A128,Piano!$A$10:$A$18,1))))))</f>
        <v/>
      </c>
      <c r="K128" s="7">
        <f>IF($J128="","",$C128-$J128)</f>
        <v/>
      </c>
    </row>
    <row r="129">
      <c r="A129" s="14" t="n"/>
      <c r="B129" s="15" t="n"/>
      <c r="C129" s="15" t="n"/>
      <c r="D129" s="15" t="n">
        <v>0</v>
      </c>
      <c r="E129" s="15" t="n">
        <v>0</v>
      </c>
      <c r="F129" s="16" t="n"/>
      <c r="G129" s="7">
        <f>IF(NOT(ISNUMBER($A129)),"",$B129+$C129)</f>
        <v/>
      </c>
      <c r="H129" s="7">
        <f>IF(OR(NOT(ISNUMBER($A129)),NOT(ISNUMBER($A128))),"",$G128+$D129-$G129-$E129)</f>
        <v/>
      </c>
      <c r="I129" s="7">
        <f>IF($H129="","",$H129-Piano!$B$4)</f>
        <v/>
      </c>
      <c r="J129" s="7">
        <f>IF(NOT(ISNUMBER($A129)),"",IF($A129&lt;=INDEX(Piano!$A$10:$A$18,1),0,IF($A129&gt;=INDEX(Piano!$A$10:$A$18,9),INDEX(Piano!$B$10:$B$18,9),INDEX(Piano!$B$10:$B$18,MATCH($A129,Piano!$A$10:$A$18,1))+($A129-INDEX(Piano!$A$10:$A$18,MATCH($A129,Piano!$A$10:$A$18,1)))/(INDEX(Piano!$A$10:$A$18,MATCH($A129,Piano!$A$10:$A$18,1)+1)-INDEX(Piano!$A$10:$A$18,MATCH($A129,Piano!$A$10:$A$18,1)))*(INDEX(Piano!$B$10:$B$18,MATCH($A129,Piano!$A$10:$A$18,1)+1)-INDEX(Piano!$B$10:$B$18,MATCH($A129,Piano!$A$10:$A$18,1))))))</f>
        <v/>
      </c>
      <c r="K129" s="7">
        <f>IF($J129="","",$C129-$J129)</f>
        <v/>
      </c>
    </row>
    <row r="130">
      <c r="A130" s="14" t="n"/>
      <c r="B130" s="15" t="n"/>
      <c r="C130" s="15" t="n"/>
      <c r="D130" s="15" t="n">
        <v>0</v>
      </c>
      <c r="E130" s="15" t="n">
        <v>0</v>
      </c>
      <c r="F130" s="16" t="n"/>
      <c r="G130" s="7">
        <f>IF(NOT(ISNUMBER($A130)),"",$B130+$C130)</f>
        <v/>
      </c>
      <c r="H130" s="7">
        <f>IF(OR(NOT(ISNUMBER($A130)),NOT(ISNUMBER($A129))),"",$G129+$D130-$G130-$E130)</f>
        <v/>
      </c>
      <c r="I130" s="7">
        <f>IF($H130="","",$H130-Piano!$B$4)</f>
        <v/>
      </c>
      <c r="J130" s="7">
        <f>IF(NOT(ISNUMBER($A130)),"",IF($A130&lt;=INDEX(Piano!$A$10:$A$18,1),0,IF($A130&gt;=INDEX(Piano!$A$10:$A$18,9),INDEX(Piano!$B$10:$B$18,9),INDEX(Piano!$B$10:$B$18,MATCH($A130,Piano!$A$10:$A$18,1))+($A130-INDEX(Piano!$A$10:$A$18,MATCH($A130,Piano!$A$10:$A$18,1)))/(INDEX(Piano!$A$10:$A$18,MATCH($A130,Piano!$A$10:$A$18,1)+1)-INDEX(Piano!$A$10:$A$18,MATCH($A130,Piano!$A$10:$A$18,1)))*(INDEX(Piano!$B$10:$B$18,MATCH($A130,Piano!$A$10:$A$18,1)+1)-INDEX(Piano!$B$10:$B$18,MATCH($A130,Piano!$A$10:$A$18,1))))))</f>
        <v/>
      </c>
      <c r="K130" s="7">
        <f>IF($J130="","",$C130-$J130)</f>
        <v/>
      </c>
    </row>
    <row r="131">
      <c r="A131" s="14" t="n"/>
      <c r="B131" s="15" t="n"/>
      <c r="C131" s="15" t="n"/>
      <c r="D131" s="15" t="n">
        <v>0</v>
      </c>
      <c r="E131" s="15" t="n">
        <v>0</v>
      </c>
      <c r="F131" s="16" t="n"/>
      <c r="G131" s="7">
        <f>IF(NOT(ISNUMBER($A131)),"",$B131+$C131)</f>
        <v/>
      </c>
      <c r="H131" s="7">
        <f>IF(OR(NOT(ISNUMBER($A131)),NOT(ISNUMBER($A130))),"",$G130+$D131-$G131-$E131)</f>
        <v/>
      </c>
      <c r="I131" s="7">
        <f>IF($H131="","",$H131-Piano!$B$4)</f>
        <v/>
      </c>
      <c r="J131" s="7">
        <f>IF(NOT(ISNUMBER($A131)),"",IF($A131&lt;=INDEX(Piano!$A$10:$A$18,1),0,IF($A131&gt;=INDEX(Piano!$A$10:$A$18,9),INDEX(Piano!$B$10:$B$18,9),INDEX(Piano!$B$10:$B$18,MATCH($A131,Piano!$A$10:$A$18,1))+($A131-INDEX(Piano!$A$10:$A$18,MATCH($A131,Piano!$A$10:$A$18,1)))/(INDEX(Piano!$A$10:$A$18,MATCH($A131,Piano!$A$10:$A$18,1)+1)-INDEX(Piano!$A$10:$A$18,MATCH($A131,Piano!$A$10:$A$18,1)))*(INDEX(Piano!$B$10:$B$18,MATCH($A131,Piano!$A$10:$A$18,1)+1)-INDEX(Piano!$B$10:$B$18,MATCH($A131,Piano!$A$10:$A$18,1))))))</f>
        <v/>
      </c>
      <c r="K131" s="7">
        <f>IF($J131="","",$C131-$J131)</f>
        <v/>
      </c>
    </row>
    <row r="132">
      <c r="A132" s="14" t="n"/>
      <c r="B132" s="15" t="n"/>
      <c r="C132" s="15" t="n"/>
      <c r="D132" s="15" t="n">
        <v>0</v>
      </c>
      <c r="E132" s="15" t="n">
        <v>0</v>
      </c>
      <c r="F132" s="16" t="n"/>
      <c r="G132" s="7">
        <f>IF(NOT(ISNUMBER($A132)),"",$B132+$C132)</f>
        <v/>
      </c>
      <c r="H132" s="7">
        <f>IF(OR(NOT(ISNUMBER($A132)),NOT(ISNUMBER($A131))),"",$G131+$D132-$G132-$E132)</f>
        <v/>
      </c>
      <c r="I132" s="7">
        <f>IF($H132="","",$H132-Piano!$B$4)</f>
        <v/>
      </c>
      <c r="J132" s="7">
        <f>IF(NOT(ISNUMBER($A132)),"",IF($A132&lt;=INDEX(Piano!$A$10:$A$18,1),0,IF($A132&gt;=INDEX(Piano!$A$10:$A$18,9),INDEX(Piano!$B$10:$B$18,9),INDEX(Piano!$B$10:$B$18,MATCH($A132,Piano!$A$10:$A$18,1))+($A132-INDEX(Piano!$A$10:$A$18,MATCH($A132,Piano!$A$10:$A$18,1)))/(INDEX(Piano!$A$10:$A$18,MATCH($A132,Piano!$A$10:$A$18,1)+1)-INDEX(Piano!$A$10:$A$18,MATCH($A132,Piano!$A$10:$A$18,1)))*(INDEX(Piano!$B$10:$B$18,MATCH($A132,Piano!$A$10:$A$18,1)+1)-INDEX(Piano!$B$10:$B$18,MATCH($A132,Piano!$A$10:$A$18,1))))))</f>
        <v/>
      </c>
      <c r="K132" s="7">
        <f>IF($J132="","",$C132-$J132)</f>
        <v/>
      </c>
    </row>
    <row r="133">
      <c r="A133" s="14" t="n"/>
      <c r="B133" s="15" t="n"/>
      <c r="C133" s="15" t="n"/>
      <c r="D133" s="15" t="n">
        <v>0</v>
      </c>
      <c r="E133" s="15" t="n">
        <v>0</v>
      </c>
      <c r="F133" s="16" t="n"/>
      <c r="G133" s="7">
        <f>IF(NOT(ISNUMBER($A133)),"",$B133+$C133)</f>
        <v/>
      </c>
      <c r="H133" s="7">
        <f>IF(OR(NOT(ISNUMBER($A133)),NOT(ISNUMBER($A132))),"",$G132+$D133-$G133-$E133)</f>
        <v/>
      </c>
      <c r="I133" s="7">
        <f>IF($H133="","",$H133-Piano!$B$4)</f>
        <v/>
      </c>
      <c r="J133" s="7">
        <f>IF(NOT(ISNUMBER($A133)),"",IF($A133&lt;=INDEX(Piano!$A$10:$A$18,1),0,IF($A133&gt;=INDEX(Piano!$A$10:$A$18,9),INDEX(Piano!$B$10:$B$18,9),INDEX(Piano!$B$10:$B$18,MATCH($A133,Piano!$A$10:$A$18,1))+($A133-INDEX(Piano!$A$10:$A$18,MATCH($A133,Piano!$A$10:$A$18,1)))/(INDEX(Piano!$A$10:$A$18,MATCH($A133,Piano!$A$10:$A$18,1)+1)-INDEX(Piano!$A$10:$A$18,MATCH($A133,Piano!$A$10:$A$18,1)))*(INDEX(Piano!$B$10:$B$18,MATCH($A133,Piano!$A$10:$A$18,1)+1)-INDEX(Piano!$B$10:$B$18,MATCH($A133,Piano!$A$10:$A$18,1))))))</f>
        <v/>
      </c>
      <c r="K133" s="7">
        <f>IF($J133="","",$C133-$J133)</f>
        <v/>
      </c>
    </row>
    <row r="134">
      <c r="A134" s="14" t="n"/>
      <c r="B134" s="15" t="n"/>
      <c r="C134" s="15" t="n"/>
      <c r="D134" s="15" t="n">
        <v>0</v>
      </c>
      <c r="E134" s="15" t="n">
        <v>0</v>
      </c>
      <c r="F134" s="16" t="n"/>
      <c r="G134" s="7">
        <f>IF(NOT(ISNUMBER($A134)),"",$B134+$C134)</f>
        <v/>
      </c>
      <c r="H134" s="7">
        <f>IF(OR(NOT(ISNUMBER($A134)),NOT(ISNUMBER($A133))),"",$G133+$D134-$G134-$E134)</f>
        <v/>
      </c>
      <c r="I134" s="7">
        <f>IF($H134="","",$H134-Piano!$B$4)</f>
        <v/>
      </c>
      <c r="J134" s="7">
        <f>IF(NOT(ISNUMBER($A134)),"",IF($A134&lt;=INDEX(Piano!$A$10:$A$18,1),0,IF($A134&gt;=INDEX(Piano!$A$10:$A$18,9),INDEX(Piano!$B$10:$B$18,9),INDEX(Piano!$B$10:$B$18,MATCH($A134,Piano!$A$10:$A$18,1))+($A134-INDEX(Piano!$A$10:$A$18,MATCH($A134,Piano!$A$10:$A$18,1)))/(INDEX(Piano!$A$10:$A$18,MATCH($A134,Piano!$A$10:$A$18,1)+1)-INDEX(Piano!$A$10:$A$18,MATCH($A134,Piano!$A$10:$A$18,1)))*(INDEX(Piano!$B$10:$B$18,MATCH($A134,Piano!$A$10:$A$18,1)+1)-INDEX(Piano!$B$10:$B$18,MATCH($A134,Piano!$A$10:$A$18,1))))))</f>
        <v/>
      </c>
      <c r="K134" s="7">
        <f>IF($J134="","",$C134-$J134)</f>
        <v/>
      </c>
    </row>
    <row r="135">
      <c r="A135" s="14" t="n"/>
      <c r="B135" s="15" t="n"/>
      <c r="C135" s="15" t="n"/>
      <c r="D135" s="15" t="n">
        <v>0</v>
      </c>
      <c r="E135" s="15" t="n">
        <v>0</v>
      </c>
      <c r="F135" s="16" t="n"/>
      <c r="G135" s="7">
        <f>IF(NOT(ISNUMBER($A135)),"",$B135+$C135)</f>
        <v/>
      </c>
      <c r="H135" s="7">
        <f>IF(OR(NOT(ISNUMBER($A135)),NOT(ISNUMBER($A134))),"",$G134+$D135-$G135-$E135)</f>
        <v/>
      </c>
      <c r="I135" s="7">
        <f>IF($H135="","",$H135-Piano!$B$4)</f>
        <v/>
      </c>
      <c r="J135" s="7">
        <f>IF(NOT(ISNUMBER($A135)),"",IF($A135&lt;=INDEX(Piano!$A$10:$A$18,1),0,IF($A135&gt;=INDEX(Piano!$A$10:$A$18,9),INDEX(Piano!$B$10:$B$18,9),INDEX(Piano!$B$10:$B$18,MATCH($A135,Piano!$A$10:$A$18,1))+($A135-INDEX(Piano!$A$10:$A$18,MATCH($A135,Piano!$A$10:$A$18,1)))/(INDEX(Piano!$A$10:$A$18,MATCH($A135,Piano!$A$10:$A$18,1)+1)-INDEX(Piano!$A$10:$A$18,MATCH($A135,Piano!$A$10:$A$18,1)))*(INDEX(Piano!$B$10:$B$18,MATCH($A135,Piano!$A$10:$A$18,1)+1)-INDEX(Piano!$B$10:$B$18,MATCH($A135,Piano!$A$10:$A$18,1))))))</f>
        <v/>
      </c>
      <c r="K135" s="7">
        <f>IF($J135="","",$C135-$J135)</f>
        <v/>
      </c>
    </row>
    <row r="136">
      <c r="A136" s="14" t="n"/>
      <c r="B136" s="15" t="n"/>
      <c r="C136" s="15" t="n"/>
      <c r="D136" s="15" t="n">
        <v>0</v>
      </c>
      <c r="E136" s="15" t="n">
        <v>0</v>
      </c>
      <c r="F136" s="16" t="n"/>
      <c r="G136" s="7">
        <f>IF(NOT(ISNUMBER($A136)),"",$B136+$C136)</f>
        <v/>
      </c>
      <c r="H136" s="7">
        <f>IF(OR(NOT(ISNUMBER($A136)),NOT(ISNUMBER($A135))),"",$G135+$D136-$G136-$E136)</f>
        <v/>
      </c>
      <c r="I136" s="7">
        <f>IF($H136="","",$H136-Piano!$B$4)</f>
        <v/>
      </c>
      <c r="J136" s="7">
        <f>IF(NOT(ISNUMBER($A136)),"",IF($A136&lt;=INDEX(Piano!$A$10:$A$18,1),0,IF($A136&gt;=INDEX(Piano!$A$10:$A$18,9),INDEX(Piano!$B$10:$B$18,9),INDEX(Piano!$B$10:$B$18,MATCH($A136,Piano!$A$10:$A$18,1))+($A136-INDEX(Piano!$A$10:$A$18,MATCH($A136,Piano!$A$10:$A$18,1)))/(INDEX(Piano!$A$10:$A$18,MATCH($A136,Piano!$A$10:$A$18,1)+1)-INDEX(Piano!$A$10:$A$18,MATCH($A136,Piano!$A$10:$A$18,1)))*(INDEX(Piano!$B$10:$B$18,MATCH($A136,Piano!$A$10:$A$18,1)+1)-INDEX(Piano!$B$10:$B$18,MATCH($A136,Piano!$A$10:$A$18,1))))))</f>
        <v/>
      </c>
      <c r="K136" s="7">
        <f>IF($J136="","",$C136-$J136)</f>
        <v/>
      </c>
    </row>
    <row r="137">
      <c r="A137" s="14" t="n"/>
      <c r="B137" s="15" t="n"/>
      <c r="C137" s="15" t="n"/>
      <c r="D137" s="15" t="n">
        <v>0</v>
      </c>
      <c r="E137" s="15" t="n">
        <v>0</v>
      </c>
      <c r="F137" s="16" t="n"/>
      <c r="G137" s="7">
        <f>IF(NOT(ISNUMBER($A137)),"",$B137+$C137)</f>
        <v/>
      </c>
      <c r="H137" s="7">
        <f>IF(OR(NOT(ISNUMBER($A137)),NOT(ISNUMBER($A136))),"",$G136+$D137-$G137-$E137)</f>
        <v/>
      </c>
      <c r="I137" s="7">
        <f>IF($H137="","",$H137-Piano!$B$4)</f>
        <v/>
      </c>
      <c r="J137" s="7">
        <f>IF(NOT(ISNUMBER($A137)),"",IF($A137&lt;=INDEX(Piano!$A$10:$A$18,1),0,IF($A137&gt;=INDEX(Piano!$A$10:$A$18,9),INDEX(Piano!$B$10:$B$18,9),INDEX(Piano!$B$10:$B$18,MATCH($A137,Piano!$A$10:$A$18,1))+($A137-INDEX(Piano!$A$10:$A$18,MATCH($A137,Piano!$A$10:$A$18,1)))/(INDEX(Piano!$A$10:$A$18,MATCH($A137,Piano!$A$10:$A$18,1)+1)-INDEX(Piano!$A$10:$A$18,MATCH($A137,Piano!$A$10:$A$18,1)))*(INDEX(Piano!$B$10:$B$18,MATCH($A137,Piano!$A$10:$A$18,1)+1)-INDEX(Piano!$B$10:$B$18,MATCH($A137,Piano!$A$10:$A$18,1))))))</f>
        <v/>
      </c>
      <c r="K137" s="7">
        <f>IF($J137="","",$C137-$J137)</f>
        <v/>
      </c>
    </row>
    <row r="138">
      <c r="A138" s="14" t="n"/>
      <c r="B138" s="15" t="n"/>
      <c r="C138" s="15" t="n"/>
      <c r="D138" s="15" t="n">
        <v>0</v>
      </c>
      <c r="E138" s="15" t="n">
        <v>0</v>
      </c>
      <c r="F138" s="16" t="n"/>
      <c r="G138" s="7">
        <f>IF(NOT(ISNUMBER($A138)),"",$B138+$C138)</f>
        <v/>
      </c>
      <c r="H138" s="7">
        <f>IF(OR(NOT(ISNUMBER($A138)),NOT(ISNUMBER($A137))),"",$G137+$D138-$G138-$E138)</f>
        <v/>
      </c>
      <c r="I138" s="7">
        <f>IF($H138="","",$H138-Piano!$B$4)</f>
        <v/>
      </c>
      <c r="J138" s="7">
        <f>IF(NOT(ISNUMBER($A138)),"",IF($A138&lt;=INDEX(Piano!$A$10:$A$18,1),0,IF($A138&gt;=INDEX(Piano!$A$10:$A$18,9),INDEX(Piano!$B$10:$B$18,9),INDEX(Piano!$B$10:$B$18,MATCH($A138,Piano!$A$10:$A$18,1))+($A138-INDEX(Piano!$A$10:$A$18,MATCH($A138,Piano!$A$10:$A$18,1)))/(INDEX(Piano!$A$10:$A$18,MATCH($A138,Piano!$A$10:$A$18,1)+1)-INDEX(Piano!$A$10:$A$18,MATCH($A138,Piano!$A$10:$A$18,1)))*(INDEX(Piano!$B$10:$B$18,MATCH($A138,Piano!$A$10:$A$18,1)+1)-INDEX(Piano!$B$10:$B$18,MATCH($A138,Piano!$A$10:$A$18,1))))))</f>
        <v/>
      </c>
      <c r="K138" s="7">
        <f>IF($J138="","",$C138-$J138)</f>
        <v/>
      </c>
    </row>
    <row r="139">
      <c r="A139" s="14" t="n"/>
      <c r="B139" s="15" t="n"/>
      <c r="C139" s="15" t="n"/>
      <c r="D139" s="15" t="n">
        <v>0</v>
      </c>
      <c r="E139" s="15" t="n">
        <v>0</v>
      </c>
      <c r="F139" s="16" t="n"/>
      <c r="G139" s="7">
        <f>IF(NOT(ISNUMBER($A139)),"",$B139+$C139)</f>
        <v/>
      </c>
      <c r="H139" s="7">
        <f>IF(OR(NOT(ISNUMBER($A139)),NOT(ISNUMBER($A138))),"",$G138+$D139-$G139-$E139)</f>
        <v/>
      </c>
      <c r="I139" s="7">
        <f>IF($H139="","",$H139-Piano!$B$4)</f>
        <v/>
      </c>
      <c r="J139" s="7">
        <f>IF(NOT(ISNUMBER($A139)),"",IF($A139&lt;=INDEX(Piano!$A$10:$A$18,1),0,IF($A139&gt;=INDEX(Piano!$A$10:$A$18,9),INDEX(Piano!$B$10:$B$18,9),INDEX(Piano!$B$10:$B$18,MATCH($A139,Piano!$A$10:$A$18,1))+($A139-INDEX(Piano!$A$10:$A$18,MATCH($A139,Piano!$A$10:$A$18,1)))/(INDEX(Piano!$A$10:$A$18,MATCH($A139,Piano!$A$10:$A$18,1)+1)-INDEX(Piano!$A$10:$A$18,MATCH($A139,Piano!$A$10:$A$18,1)))*(INDEX(Piano!$B$10:$B$18,MATCH($A139,Piano!$A$10:$A$18,1)+1)-INDEX(Piano!$B$10:$B$18,MATCH($A139,Piano!$A$10:$A$18,1))))))</f>
        <v/>
      </c>
      <c r="K139" s="7">
        <f>IF($J139="","",$C139-$J139)</f>
        <v/>
      </c>
    </row>
    <row r="140">
      <c r="A140" s="14" t="n"/>
      <c r="B140" s="15" t="n"/>
      <c r="C140" s="15" t="n"/>
      <c r="D140" s="15" t="n">
        <v>0</v>
      </c>
      <c r="E140" s="15" t="n">
        <v>0</v>
      </c>
      <c r="F140" s="16" t="n"/>
      <c r="G140" s="7">
        <f>IF(NOT(ISNUMBER($A140)),"",$B140+$C140)</f>
        <v/>
      </c>
      <c r="H140" s="7">
        <f>IF(OR(NOT(ISNUMBER($A140)),NOT(ISNUMBER($A139))),"",$G139+$D140-$G140-$E140)</f>
        <v/>
      </c>
      <c r="I140" s="7">
        <f>IF($H140="","",$H140-Piano!$B$4)</f>
        <v/>
      </c>
      <c r="J140" s="7">
        <f>IF(NOT(ISNUMBER($A140)),"",IF($A140&lt;=INDEX(Piano!$A$10:$A$18,1),0,IF($A140&gt;=INDEX(Piano!$A$10:$A$18,9),INDEX(Piano!$B$10:$B$18,9),INDEX(Piano!$B$10:$B$18,MATCH($A140,Piano!$A$10:$A$18,1))+($A140-INDEX(Piano!$A$10:$A$18,MATCH($A140,Piano!$A$10:$A$18,1)))/(INDEX(Piano!$A$10:$A$18,MATCH($A140,Piano!$A$10:$A$18,1)+1)-INDEX(Piano!$A$10:$A$18,MATCH($A140,Piano!$A$10:$A$18,1)))*(INDEX(Piano!$B$10:$B$18,MATCH($A140,Piano!$A$10:$A$18,1)+1)-INDEX(Piano!$B$10:$B$18,MATCH($A140,Piano!$A$10:$A$18,1))))))</f>
        <v/>
      </c>
      <c r="K140" s="7">
        <f>IF($J140="","",$C140-$J140)</f>
        <v/>
      </c>
    </row>
    <row r="141">
      <c r="A141" s="14" t="n"/>
      <c r="B141" s="15" t="n"/>
      <c r="C141" s="15" t="n"/>
      <c r="D141" s="15" t="n">
        <v>0</v>
      </c>
      <c r="E141" s="15" t="n">
        <v>0</v>
      </c>
      <c r="F141" s="16" t="n"/>
      <c r="G141" s="7">
        <f>IF(NOT(ISNUMBER($A141)),"",$B141+$C141)</f>
        <v/>
      </c>
      <c r="H141" s="7">
        <f>IF(OR(NOT(ISNUMBER($A141)),NOT(ISNUMBER($A140))),"",$G140+$D141-$G141-$E141)</f>
        <v/>
      </c>
      <c r="I141" s="7">
        <f>IF($H141="","",$H141-Piano!$B$4)</f>
        <v/>
      </c>
      <c r="J141" s="7">
        <f>IF(NOT(ISNUMBER($A141)),"",IF($A141&lt;=INDEX(Piano!$A$10:$A$18,1),0,IF($A141&gt;=INDEX(Piano!$A$10:$A$18,9),INDEX(Piano!$B$10:$B$18,9),INDEX(Piano!$B$10:$B$18,MATCH($A141,Piano!$A$10:$A$18,1))+($A141-INDEX(Piano!$A$10:$A$18,MATCH($A141,Piano!$A$10:$A$18,1)))/(INDEX(Piano!$A$10:$A$18,MATCH($A141,Piano!$A$10:$A$18,1)+1)-INDEX(Piano!$A$10:$A$18,MATCH($A141,Piano!$A$10:$A$18,1)))*(INDEX(Piano!$B$10:$B$18,MATCH($A141,Piano!$A$10:$A$18,1)+1)-INDEX(Piano!$B$10:$B$18,MATCH($A141,Piano!$A$10:$A$18,1))))))</f>
        <v/>
      </c>
      <c r="K141" s="7">
        <f>IF($J141="","",$C141-$J141)</f>
        <v/>
      </c>
    </row>
    <row r="142">
      <c r="A142" s="14" t="n"/>
      <c r="B142" s="15" t="n"/>
      <c r="C142" s="15" t="n"/>
      <c r="D142" s="15" t="n">
        <v>0</v>
      </c>
      <c r="E142" s="15" t="n">
        <v>0</v>
      </c>
      <c r="F142" s="16" t="n"/>
      <c r="G142" s="7">
        <f>IF(NOT(ISNUMBER($A142)),"",$B142+$C142)</f>
        <v/>
      </c>
      <c r="H142" s="7">
        <f>IF(OR(NOT(ISNUMBER($A142)),NOT(ISNUMBER($A141))),"",$G141+$D142-$G142-$E142)</f>
        <v/>
      </c>
      <c r="I142" s="7">
        <f>IF($H142="","",$H142-Piano!$B$4)</f>
        <v/>
      </c>
      <c r="J142" s="7">
        <f>IF(NOT(ISNUMBER($A142)),"",IF($A142&lt;=INDEX(Piano!$A$10:$A$18,1),0,IF($A142&gt;=INDEX(Piano!$A$10:$A$18,9),INDEX(Piano!$B$10:$B$18,9),INDEX(Piano!$B$10:$B$18,MATCH($A142,Piano!$A$10:$A$18,1))+($A142-INDEX(Piano!$A$10:$A$18,MATCH($A142,Piano!$A$10:$A$18,1)))/(INDEX(Piano!$A$10:$A$18,MATCH($A142,Piano!$A$10:$A$18,1)+1)-INDEX(Piano!$A$10:$A$18,MATCH($A142,Piano!$A$10:$A$18,1)))*(INDEX(Piano!$B$10:$B$18,MATCH($A142,Piano!$A$10:$A$18,1)+1)-INDEX(Piano!$B$10:$B$18,MATCH($A142,Piano!$A$10:$A$18,1))))))</f>
        <v/>
      </c>
      <c r="K142" s="7">
        <f>IF($J142="","",$C142-$J142)</f>
        <v/>
      </c>
    </row>
    <row r="143">
      <c r="A143" s="14" t="n"/>
      <c r="B143" s="15" t="n"/>
      <c r="C143" s="15" t="n"/>
      <c r="D143" s="15" t="n">
        <v>0</v>
      </c>
      <c r="E143" s="15" t="n">
        <v>0</v>
      </c>
      <c r="F143" s="16" t="n"/>
      <c r="G143" s="7">
        <f>IF(NOT(ISNUMBER($A143)),"",$B143+$C143)</f>
        <v/>
      </c>
      <c r="H143" s="7">
        <f>IF(OR(NOT(ISNUMBER($A143)),NOT(ISNUMBER($A142))),"",$G142+$D143-$G143-$E143)</f>
        <v/>
      </c>
      <c r="I143" s="7">
        <f>IF($H143="","",$H143-Piano!$B$4)</f>
        <v/>
      </c>
      <c r="J143" s="7">
        <f>IF(NOT(ISNUMBER($A143)),"",IF($A143&lt;=INDEX(Piano!$A$10:$A$18,1),0,IF($A143&gt;=INDEX(Piano!$A$10:$A$18,9),INDEX(Piano!$B$10:$B$18,9),INDEX(Piano!$B$10:$B$18,MATCH($A143,Piano!$A$10:$A$18,1))+($A143-INDEX(Piano!$A$10:$A$18,MATCH($A143,Piano!$A$10:$A$18,1)))/(INDEX(Piano!$A$10:$A$18,MATCH($A143,Piano!$A$10:$A$18,1)+1)-INDEX(Piano!$A$10:$A$18,MATCH($A143,Piano!$A$10:$A$18,1)))*(INDEX(Piano!$B$10:$B$18,MATCH($A143,Piano!$A$10:$A$18,1)+1)-INDEX(Piano!$B$10:$B$18,MATCH($A143,Piano!$A$10:$A$18,1))))))</f>
        <v/>
      </c>
      <c r="K143" s="7">
        <f>IF($J143="","",$C143-$J143)</f>
        <v/>
      </c>
    </row>
    <row r="144">
      <c r="A144" s="14" t="n"/>
      <c r="B144" s="15" t="n"/>
      <c r="C144" s="15" t="n"/>
      <c r="D144" s="15" t="n">
        <v>0</v>
      </c>
      <c r="E144" s="15" t="n">
        <v>0</v>
      </c>
      <c r="F144" s="16" t="n"/>
      <c r="G144" s="7">
        <f>IF(NOT(ISNUMBER($A144)),"",$B144+$C144)</f>
        <v/>
      </c>
      <c r="H144" s="7">
        <f>IF(OR(NOT(ISNUMBER($A144)),NOT(ISNUMBER($A143))),"",$G143+$D144-$G144-$E144)</f>
        <v/>
      </c>
      <c r="I144" s="7">
        <f>IF($H144="","",$H144-Piano!$B$4)</f>
        <v/>
      </c>
      <c r="J144" s="7">
        <f>IF(NOT(ISNUMBER($A144)),"",IF($A144&lt;=INDEX(Piano!$A$10:$A$18,1),0,IF($A144&gt;=INDEX(Piano!$A$10:$A$18,9),INDEX(Piano!$B$10:$B$18,9),INDEX(Piano!$B$10:$B$18,MATCH($A144,Piano!$A$10:$A$18,1))+($A144-INDEX(Piano!$A$10:$A$18,MATCH($A144,Piano!$A$10:$A$18,1)))/(INDEX(Piano!$A$10:$A$18,MATCH($A144,Piano!$A$10:$A$18,1)+1)-INDEX(Piano!$A$10:$A$18,MATCH($A144,Piano!$A$10:$A$18,1)))*(INDEX(Piano!$B$10:$B$18,MATCH($A144,Piano!$A$10:$A$18,1)+1)-INDEX(Piano!$B$10:$B$18,MATCH($A144,Piano!$A$10:$A$18,1))))))</f>
        <v/>
      </c>
      <c r="K144" s="7">
        <f>IF($J144="","",$C144-$J144)</f>
        <v/>
      </c>
    </row>
    <row r="145">
      <c r="A145" s="14" t="n"/>
      <c r="B145" s="15" t="n"/>
      <c r="C145" s="15" t="n"/>
      <c r="D145" s="15" t="n">
        <v>0</v>
      </c>
      <c r="E145" s="15" t="n">
        <v>0</v>
      </c>
      <c r="F145" s="16" t="n"/>
      <c r="G145" s="7">
        <f>IF(NOT(ISNUMBER($A145)),"",$B145+$C145)</f>
        <v/>
      </c>
      <c r="H145" s="7">
        <f>IF(OR(NOT(ISNUMBER($A145)),NOT(ISNUMBER($A144))),"",$G144+$D145-$G145-$E145)</f>
        <v/>
      </c>
      <c r="I145" s="7">
        <f>IF($H145="","",$H145-Piano!$B$4)</f>
        <v/>
      </c>
      <c r="J145" s="7">
        <f>IF(NOT(ISNUMBER($A145)),"",IF($A145&lt;=INDEX(Piano!$A$10:$A$18,1),0,IF($A145&gt;=INDEX(Piano!$A$10:$A$18,9),INDEX(Piano!$B$10:$B$18,9),INDEX(Piano!$B$10:$B$18,MATCH($A145,Piano!$A$10:$A$18,1))+($A145-INDEX(Piano!$A$10:$A$18,MATCH($A145,Piano!$A$10:$A$18,1)))/(INDEX(Piano!$A$10:$A$18,MATCH($A145,Piano!$A$10:$A$18,1)+1)-INDEX(Piano!$A$10:$A$18,MATCH($A145,Piano!$A$10:$A$18,1)))*(INDEX(Piano!$B$10:$B$18,MATCH($A145,Piano!$A$10:$A$18,1)+1)-INDEX(Piano!$B$10:$B$18,MATCH($A145,Piano!$A$10:$A$18,1))))))</f>
        <v/>
      </c>
      <c r="K145" s="7">
        <f>IF($J145="","",$C145-$J145)</f>
        <v/>
      </c>
    </row>
    <row r="146">
      <c r="A146" s="14" t="n"/>
      <c r="B146" s="15" t="n"/>
      <c r="C146" s="15" t="n"/>
      <c r="D146" s="15" t="n">
        <v>0</v>
      </c>
      <c r="E146" s="15" t="n">
        <v>0</v>
      </c>
      <c r="F146" s="16" t="n"/>
      <c r="G146" s="7">
        <f>IF(NOT(ISNUMBER($A146)),"",$B146+$C146)</f>
        <v/>
      </c>
      <c r="H146" s="7">
        <f>IF(OR(NOT(ISNUMBER($A146)),NOT(ISNUMBER($A145))),"",$G145+$D146-$G146-$E146)</f>
        <v/>
      </c>
      <c r="I146" s="7">
        <f>IF($H146="","",$H146-Piano!$B$4)</f>
        <v/>
      </c>
      <c r="J146" s="7">
        <f>IF(NOT(ISNUMBER($A146)),"",IF($A146&lt;=INDEX(Piano!$A$10:$A$18,1),0,IF($A146&gt;=INDEX(Piano!$A$10:$A$18,9),INDEX(Piano!$B$10:$B$18,9),INDEX(Piano!$B$10:$B$18,MATCH($A146,Piano!$A$10:$A$18,1))+($A146-INDEX(Piano!$A$10:$A$18,MATCH($A146,Piano!$A$10:$A$18,1)))/(INDEX(Piano!$A$10:$A$18,MATCH($A146,Piano!$A$10:$A$18,1)+1)-INDEX(Piano!$A$10:$A$18,MATCH($A146,Piano!$A$10:$A$18,1)))*(INDEX(Piano!$B$10:$B$18,MATCH($A146,Piano!$A$10:$A$18,1)+1)-INDEX(Piano!$B$10:$B$18,MATCH($A146,Piano!$A$10:$A$18,1))))))</f>
        <v/>
      </c>
      <c r="K146" s="7">
        <f>IF($J146="","",$C146-$J146)</f>
        <v/>
      </c>
    </row>
    <row r="147">
      <c r="A147" s="14" t="n"/>
      <c r="B147" s="15" t="n"/>
      <c r="C147" s="15" t="n"/>
      <c r="D147" s="15" t="n">
        <v>0</v>
      </c>
      <c r="E147" s="15" t="n">
        <v>0</v>
      </c>
      <c r="F147" s="16" t="n"/>
      <c r="G147" s="7">
        <f>IF(NOT(ISNUMBER($A147)),"",$B147+$C147)</f>
        <v/>
      </c>
      <c r="H147" s="7">
        <f>IF(OR(NOT(ISNUMBER($A147)),NOT(ISNUMBER($A146))),"",$G146+$D147-$G147-$E147)</f>
        <v/>
      </c>
      <c r="I147" s="7">
        <f>IF($H147="","",$H147-Piano!$B$4)</f>
        <v/>
      </c>
      <c r="J147" s="7">
        <f>IF(NOT(ISNUMBER($A147)),"",IF($A147&lt;=INDEX(Piano!$A$10:$A$18,1),0,IF($A147&gt;=INDEX(Piano!$A$10:$A$18,9),INDEX(Piano!$B$10:$B$18,9),INDEX(Piano!$B$10:$B$18,MATCH($A147,Piano!$A$10:$A$18,1))+($A147-INDEX(Piano!$A$10:$A$18,MATCH($A147,Piano!$A$10:$A$18,1)))/(INDEX(Piano!$A$10:$A$18,MATCH($A147,Piano!$A$10:$A$18,1)+1)-INDEX(Piano!$A$10:$A$18,MATCH($A147,Piano!$A$10:$A$18,1)))*(INDEX(Piano!$B$10:$B$18,MATCH($A147,Piano!$A$10:$A$18,1)+1)-INDEX(Piano!$B$10:$B$18,MATCH($A147,Piano!$A$10:$A$18,1))))))</f>
        <v/>
      </c>
      <c r="K147" s="7">
        <f>IF($J147="","",$C147-$J147)</f>
        <v/>
      </c>
    </row>
    <row r="148">
      <c r="A148" s="14" t="n"/>
      <c r="B148" s="15" t="n"/>
      <c r="C148" s="15" t="n"/>
      <c r="D148" s="15" t="n">
        <v>0</v>
      </c>
      <c r="E148" s="15" t="n">
        <v>0</v>
      </c>
      <c r="F148" s="16" t="n"/>
      <c r="G148" s="7">
        <f>IF(NOT(ISNUMBER($A148)),"",$B148+$C148)</f>
        <v/>
      </c>
      <c r="H148" s="7">
        <f>IF(OR(NOT(ISNUMBER($A148)),NOT(ISNUMBER($A147))),"",$G147+$D148-$G148-$E148)</f>
        <v/>
      </c>
      <c r="I148" s="7">
        <f>IF($H148="","",$H148-Piano!$B$4)</f>
        <v/>
      </c>
      <c r="J148" s="7">
        <f>IF(NOT(ISNUMBER($A148)),"",IF($A148&lt;=INDEX(Piano!$A$10:$A$18,1),0,IF($A148&gt;=INDEX(Piano!$A$10:$A$18,9),INDEX(Piano!$B$10:$B$18,9),INDEX(Piano!$B$10:$B$18,MATCH($A148,Piano!$A$10:$A$18,1))+($A148-INDEX(Piano!$A$10:$A$18,MATCH($A148,Piano!$A$10:$A$18,1)))/(INDEX(Piano!$A$10:$A$18,MATCH($A148,Piano!$A$10:$A$18,1)+1)-INDEX(Piano!$A$10:$A$18,MATCH($A148,Piano!$A$10:$A$18,1)))*(INDEX(Piano!$B$10:$B$18,MATCH($A148,Piano!$A$10:$A$18,1)+1)-INDEX(Piano!$B$10:$B$18,MATCH($A148,Piano!$A$10:$A$18,1))))))</f>
        <v/>
      </c>
      <c r="K148" s="7">
        <f>IF($J148="","",$C148-$J148)</f>
        <v/>
      </c>
    </row>
    <row r="149">
      <c r="A149" s="14" t="n"/>
      <c r="B149" s="15" t="n"/>
      <c r="C149" s="15" t="n"/>
      <c r="D149" s="15" t="n">
        <v>0</v>
      </c>
      <c r="E149" s="15" t="n">
        <v>0</v>
      </c>
      <c r="F149" s="16" t="n"/>
      <c r="G149" s="7">
        <f>IF(NOT(ISNUMBER($A149)),"",$B149+$C149)</f>
        <v/>
      </c>
      <c r="H149" s="7">
        <f>IF(OR(NOT(ISNUMBER($A149)),NOT(ISNUMBER($A148))),"",$G148+$D149-$G149-$E149)</f>
        <v/>
      </c>
      <c r="I149" s="7">
        <f>IF($H149="","",$H149-Piano!$B$4)</f>
        <v/>
      </c>
      <c r="J149" s="7">
        <f>IF(NOT(ISNUMBER($A149)),"",IF($A149&lt;=INDEX(Piano!$A$10:$A$18,1),0,IF($A149&gt;=INDEX(Piano!$A$10:$A$18,9),INDEX(Piano!$B$10:$B$18,9),INDEX(Piano!$B$10:$B$18,MATCH($A149,Piano!$A$10:$A$18,1))+($A149-INDEX(Piano!$A$10:$A$18,MATCH($A149,Piano!$A$10:$A$18,1)))/(INDEX(Piano!$A$10:$A$18,MATCH($A149,Piano!$A$10:$A$18,1)+1)-INDEX(Piano!$A$10:$A$18,MATCH($A149,Piano!$A$10:$A$18,1)))*(INDEX(Piano!$B$10:$B$18,MATCH($A149,Piano!$A$10:$A$18,1)+1)-INDEX(Piano!$B$10:$B$18,MATCH($A149,Piano!$A$10:$A$18,1))))))</f>
        <v/>
      </c>
      <c r="K149" s="7">
        <f>IF($J149="","",$C149-$J149)</f>
        <v/>
      </c>
    </row>
    <row r="150">
      <c r="A150" s="14" t="n"/>
      <c r="B150" s="15" t="n"/>
      <c r="C150" s="15" t="n"/>
      <c r="D150" s="15" t="n">
        <v>0</v>
      </c>
      <c r="E150" s="15" t="n">
        <v>0</v>
      </c>
      <c r="F150" s="16" t="n"/>
      <c r="G150" s="7">
        <f>IF(NOT(ISNUMBER($A150)),"",$B150+$C150)</f>
        <v/>
      </c>
      <c r="H150" s="7">
        <f>IF(OR(NOT(ISNUMBER($A150)),NOT(ISNUMBER($A149))),"",$G149+$D150-$G150-$E150)</f>
        <v/>
      </c>
      <c r="I150" s="7">
        <f>IF($H150="","",$H150-Piano!$B$4)</f>
        <v/>
      </c>
      <c r="J150" s="7">
        <f>IF(NOT(ISNUMBER($A150)),"",IF($A150&lt;=INDEX(Piano!$A$10:$A$18,1),0,IF($A150&gt;=INDEX(Piano!$A$10:$A$18,9),INDEX(Piano!$B$10:$B$18,9),INDEX(Piano!$B$10:$B$18,MATCH($A150,Piano!$A$10:$A$18,1))+($A150-INDEX(Piano!$A$10:$A$18,MATCH($A150,Piano!$A$10:$A$18,1)))/(INDEX(Piano!$A$10:$A$18,MATCH($A150,Piano!$A$10:$A$18,1)+1)-INDEX(Piano!$A$10:$A$18,MATCH($A150,Piano!$A$10:$A$18,1)))*(INDEX(Piano!$B$10:$B$18,MATCH($A150,Piano!$A$10:$A$18,1)+1)-INDEX(Piano!$B$10:$B$18,MATCH($A150,Piano!$A$10:$A$18,1))))))</f>
        <v/>
      </c>
      <c r="K150" s="7">
        <f>IF($J150="","",$C150-$J150)</f>
        <v/>
      </c>
    </row>
    <row r="151">
      <c r="A151" s="14" t="n"/>
      <c r="B151" s="15" t="n"/>
      <c r="C151" s="15" t="n"/>
      <c r="D151" s="15" t="n">
        <v>0</v>
      </c>
      <c r="E151" s="15" t="n">
        <v>0</v>
      </c>
      <c r="F151" s="16" t="n"/>
      <c r="G151" s="7">
        <f>IF(NOT(ISNUMBER($A151)),"",$B151+$C151)</f>
        <v/>
      </c>
      <c r="H151" s="7">
        <f>IF(OR(NOT(ISNUMBER($A151)),NOT(ISNUMBER($A150))),"",$G150+$D151-$G151-$E151)</f>
        <v/>
      </c>
      <c r="I151" s="7">
        <f>IF($H151="","",$H151-Piano!$B$4)</f>
        <v/>
      </c>
      <c r="J151" s="7">
        <f>IF(NOT(ISNUMBER($A151)),"",IF($A151&lt;=INDEX(Piano!$A$10:$A$18,1),0,IF($A151&gt;=INDEX(Piano!$A$10:$A$18,9),INDEX(Piano!$B$10:$B$18,9),INDEX(Piano!$B$10:$B$18,MATCH($A151,Piano!$A$10:$A$18,1))+($A151-INDEX(Piano!$A$10:$A$18,MATCH($A151,Piano!$A$10:$A$18,1)))/(INDEX(Piano!$A$10:$A$18,MATCH($A151,Piano!$A$10:$A$18,1)+1)-INDEX(Piano!$A$10:$A$18,MATCH($A151,Piano!$A$10:$A$18,1)))*(INDEX(Piano!$B$10:$B$18,MATCH($A151,Piano!$A$10:$A$18,1)+1)-INDEX(Piano!$B$10:$B$18,MATCH($A151,Piano!$A$10:$A$18,1))))))</f>
        <v/>
      </c>
      <c r="K151" s="7">
        <f>IF($J151="","",$C151-$J151)</f>
        <v/>
      </c>
    </row>
    <row r="152">
      <c r="A152" s="14" t="n"/>
      <c r="B152" s="15" t="n"/>
      <c r="C152" s="15" t="n"/>
      <c r="D152" s="15" t="n">
        <v>0</v>
      </c>
      <c r="E152" s="15" t="n">
        <v>0</v>
      </c>
      <c r="F152" s="16" t="n"/>
      <c r="G152" s="7">
        <f>IF(NOT(ISNUMBER($A152)),"",$B152+$C152)</f>
        <v/>
      </c>
      <c r="H152" s="7">
        <f>IF(OR(NOT(ISNUMBER($A152)),NOT(ISNUMBER($A151))),"",$G151+$D152-$G152-$E152)</f>
        <v/>
      </c>
      <c r="I152" s="7">
        <f>IF($H152="","",$H152-Piano!$B$4)</f>
        <v/>
      </c>
      <c r="J152" s="7">
        <f>IF(NOT(ISNUMBER($A152)),"",IF($A152&lt;=INDEX(Piano!$A$10:$A$18,1),0,IF($A152&gt;=INDEX(Piano!$A$10:$A$18,9),INDEX(Piano!$B$10:$B$18,9),INDEX(Piano!$B$10:$B$18,MATCH($A152,Piano!$A$10:$A$18,1))+($A152-INDEX(Piano!$A$10:$A$18,MATCH($A152,Piano!$A$10:$A$18,1)))/(INDEX(Piano!$A$10:$A$18,MATCH($A152,Piano!$A$10:$A$18,1)+1)-INDEX(Piano!$A$10:$A$18,MATCH($A152,Piano!$A$10:$A$18,1)))*(INDEX(Piano!$B$10:$B$18,MATCH($A152,Piano!$A$10:$A$18,1)+1)-INDEX(Piano!$B$10:$B$18,MATCH($A152,Piano!$A$10:$A$18,1))))))</f>
        <v/>
      </c>
      <c r="K152" s="7">
        <f>IF($J152="","",$C152-$J152)</f>
        <v/>
      </c>
    </row>
    <row r="153">
      <c r="A153" s="14" t="n"/>
      <c r="B153" s="15" t="n"/>
      <c r="C153" s="15" t="n"/>
      <c r="D153" s="15" t="n">
        <v>0</v>
      </c>
      <c r="E153" s="15" t="n">
        <v>0</v>
      </c>
      <c r="F153" s="16" t="n"/>
      <c r="G153" s="7">
        <f>IF(NOT(ISNUMBER($A153)),"",$B153+$C153)</f>
        <v/>
      </c>
      <c r="H153" s="7">
        <f>IF(OR(NOT(ISNUMBER($A153)),NOT(ISNUMBER($A152))),"",$G152+$D153-$G153-$E153)</f>
        <v/>
      </c>
      <c r="I153" s="7">
        <f>IF($H153="","",$H153-Piano!$B$4)</f>
        <v/>
      </c>
      <c r="J153" s="7">
        <f>IF(NOT(ISNUMBER($A153)),"",IF($A153&lt;=INDEX(Piano!$A$10:$A$18,1),0,IF($A153&gt;=INDEX(Piano!$A$10:$A$18,9),INDEX(Piano!$B$10:$B$18,9),INDEX(Piano!$B$10:$B$18,MATCH($A153,Piano!$A$10:$A$18,1))+($A153-INDEX(Piano!$A$10:$A$18,MATCH($A153,Piano!$A$10:$A$18,1)))/(INDEX(Piano!$A$10:$A$18,MATCH($A153,Piano!$A$10:$A$18,1)+1)-INDEX(Piano!$A$10:$A$18,MATCH($A153,Piano!$A$10:$A$18,1)))*(INDEX(Piano!$B$10:$B$18,MATCH($A153,Piano!$A$10:$A$18,1)+1)-INDEX(Piano!$B$10:$B$18,MATCH($A153,Piano!$A$10:$A$18,1))))))</f>
        <v/>
      </c>
      <c r="K153" s="7">
        <f>IF($J153="","",$C153-$J153)</f>
        <v/>
      </c>
    </row>
    <row r="154">
      <c r="A154" s="14" t="n"/>
      <c r="B154" s="15" t="n"/>
      <c r="C154" s="15" t="n"/>
      <c r="D154" s="15" t="n">
        <v>0</v>
      </c>
      <c r="E154" s="15" t="n">
        <v>0</v>
      </c>
      <c r="F154" s="16" t="n"/>
      <c r="G154" s="7">
        <f>IF(NOT(ISNUMBER($A154)),"",$B154+$C154)</f>
        <v/>
      </c>
      <c r="H154" s="7">
        <f>IF(OR(NOT(ISNUMBER($A154)),NOT(ISNUMBER($A153))),"",$G153+$D154-$G154-$E154)</f>
        <v/>
      </c>
      <c r="I154" s="7">
        <f>IF($H154="","",$H154-Piano!$B$4)</f>
        <v/>
      </c>
      <c r="J154" s="7">
        <f>IF(NOT(ISNUMBER($A154)),"",IF($A154&lt;=INDEX(Piano!$A$10:$A$18,1),0,IF($A154&gt;=INDEX(Piano!$A$10:$A$18,9),INDEX(Piano!$B$10:$B$18,9),INDEX(Piano!$B$10:$B$18,MATCH($A154,Piano!$A$10:$A$18,1))+($A154-INDEX(Piano!$A$10:$A$18,MATCH($A154,Piano!$A$10:$A$18,1)))/(INDEX(Piano!$A$10:$A$18,MATCH($A154,Piano!$A$10:$A$18,1)+1)-INDEX(Piano!$A$10:$A$18,MATCH($A154,Piano!$A$10:$A$18,1)))*(INDEX(Piano!$B$10:$B$18,MATCH($A154,Piano!$A$10:$A$18,1)+1)-INDEX(Piano!$B$10:$B$18,MATCH($A154,Piano!$A$10:$A$18,1))))))</f>
        <v/>
      </c>
      <c r="K154" s="7">
        <f>IF($J154="","",$C154-$J154)</f>
        <v/>
      </c>
    </row>
    <row r="155">
      <c r="A155" s="14" t="n"/>
      <c r="B155" s="15" t="n"/>
      <c r="C155" s="15" t="n"/>
      <c r="D155" s="15" t="n">
        <v>0</v>
      </c>
      <c r="E155" s="15" t="n">
        <v>0</v>
      </c>
      <c r="F155" s="16" t="n"/>
      <c r="G155" s="7">
        <f>IF(NOT(ISNUMBER($A155)),"",$B155+$C155)</f>
        <v/>
      </c>
      <c r="H155" s="7">
        <f>IF(OR(NOT(ISNUMBER($A155)),NOT(ISNUMBER($A154))),"",$G154+$D155-$G155-$E155)</f>
        <v/>
      </c>
      <c r="I155" s="7">
        <f>IF($H155="","",$H155-Piano!$B$4)</f>
        <v/>
      </c>
      <c r="J155" s="7">
        <f>IF(NOT(ISNUMBER($A155)),"",IF($A155&lt;=INDEX(Piano!$A$10:$A$18,1),0,IF($A155&gt;=INDEX(Piano!$A$10:$A$18,9),INDEX(Piano!$B$10:$B$18,9),INDEX(Piano!$B$10:$B$18,MATCH($A155,Piano!$A$10:$A$18,1))+($A155-INDEX(Piano!$A$10:$A$18,MATCH($A155,Piano!$A$10:$A$18,1)))/(INDEX(Piano!$A$10:$A$18,MATCH($A155,Piano!$A$10:$A$18,1)+1)-INDEX(Piano!$A$10:$A$18,MATCH($A155,Piano!$A$10:$A$18,1)))*(INDEX(Piano!$B$10:$B$18,MATCH($A155,Piano!$A$10:$A$18,1)+1)-INDEX(Piano!$B$10:$B$18,MATCH($A155,Piano!$A$10:$A$18,1))))))</f>
        <v/>
      </c>
      <c r="K155" s="7">
        <f>IF($J155="","",$C155-$J155)</f>
        <v/>
      </c>
    </row>
    <row r="156">
      <c r="A156" s="14" t="n"/>
      <c r="B156" s="15" t="n"/>
      <c r="C156" s="15" t="n"/>
      <c r="D156" s="15" t="n">
        <v>0</v>
      </c>
      <c r="E156" s="15" t="n">
        <v>0</v>
      </c>
      <c r="F156" s="16" t="n"/>
      <c r="G156" s="7">
        <f>IF(NOT(ISNUMBER($A156)),"",$B156+$C156)</f>
        <v/>
      </c>
      <c r="H156" s="7">
        <f>IF(OR(NOT(ISNUMBER($A156)),NOT(ISNUMBER($A155))),"",$G155+$D156-$G156-$E156)</f>
        <v/>
      </c>
      <c r="I156" s="7">
        <f>IF($H156="","",$H156-Piano!$B$4)</f>
        <v/>
      </c>
      <c r="J156" s="7">
        <f>IF(NOT(ISNUMBER($A156)),"",IF($A156&lt;=INDEX(Piano!$A$10:$A$18,1),0,IF($A156&gt;=INDEX(Piano!$A$10:$A$18,9),INDEX(Piano!$B$10:$B$18,9),INDEX(Piano!$B$10:$B$18,MATCH($A156,Piano!$A$10:$A$18,1))+($A156-INDEX(Piano!$A$10:$A$18,MATCH($A156,Piano!$A$10:$A$18,1)))/(INDEX(Piano!$A$10:$A$18,MATCH($A156,Piano!$A$10:$A$18,1)+1)-INDEX(Piano!$A$10:$A$18,MATCH($A156,Piano!$A$10:$A$18,1)))*(INDEX(Piano!$B$10:$B$18,MATCH($A156,Piano!$A$10:$A$18,1)+1)-INDEX(Piano!$B$10:$B$18,MATCH($A156,Piano!$A$10:$A$18,1))))))</f>
        <v/>
      </c>
      <c r="K156" s="7">
        <f>IF($J156="","",$C156-$J156)</f>
        <v/>
      </c>
    </row>
    <row r="157">
      <c r="A157" s="14" t="n"/>
      <c r="B157" s="15" t="n"/>
      <c r="C157" s="15" t="n"/>
      <c r="D157" s="15" t="n">
        <v>0</v>
      </c>
      <c r="E157" s="15" t="n">
        <v>0</v>
      </c>
      <c r="F157" s="16" t="n"/>
      <c r="G157" s="7">
        <f>IF(NOT(ISNUMBER($A157)),"",$B157+$C157)</f>
        <v/>
      </c>
      <c r="H157" s="7">
        <f>IF(OR(NOT(ISNUMBER($A157)),NOT(ISNUMBER($A156))),"",$G156+$D157-$G157-$E157)</f>
        <v/>
      </c>
      <c r="I157" s="7">
        <f>IF($H157="","",$H157-Piano!$B$4)</f>
        <v/>
      </c>
      <c r="J157" s="7">
        <f>IF(NOT(ISNUMBER($A157)),"",IF($A157&lt;=INDEX(Piano!$A$10:$A$18,1),0,IF($A157&gt;=INDEX(Piano!$A$10:$A$18,9),INDEX(Piano!$B$10:$B$18,9),INDEX(Piano!$B$10:$B$18,MATCH($A157,Piano!$A$10:$A$18,1))+($A157-INDEX(Piano!$A$10:$A$18,MATCH($A157,Piano!$A$10:$A$18,1)))/(INDEX(Piano!$A$10:$A$18,MATCH($A157,Piano!$A$10:$A$18,1)+1)-INDEX(Piano!$A$10:$A$18,MATCH($A157,Piano!$A$10:$A$18,1)))*(INDEX(Piano!$B$10:$B$18,MATCH($A157,Piano!$A$10:$A$18,1)+1)-INDEX(Piano!$B$10:$B$18,MATCH($A157,Piano!$A$10:$A$18,1))))))</f>
        <v/>
      </c>
      <c r="K157" s="7">
        <f>IF($J157="","",$C157-$J157)</f>
        <v/>
      </c>
    </row>
    <row r="158">
      <c r="A158" s="14" t="n"/>
      <c r="B158" s="15" t="n"/>
      <c r="C158" s="15" t="n"/>
      <c r="D158" s="15" t="n">
        <v>0</v>
      </c>
      <c r="E158" s="15" t="n">
        <v>0</v>
      </c>
      <c r="F158" s="16" t="n"/>
      <c r="G158" s="7">
        <f>IF(NOT(ISNUMBER($A158)),"",$B158+$C158)</f>
        <v/>
      </c>
      <c r="H158" s="7">
        <f>IF(OR(NOT(ISNUMBER($A158)),NOT(ISNUMBER($A157))),"",$G157+$D158-$G158-$E158)</f>
        <v/>
      </c>
      <c r="I158" s="7">
        <f>IF($H158="","",$H158-Piano!$B$4)</f>
        <v/>
      </c>
      <c r="J158" s="7">
        <f>IF(NOT(ISNUMBER($A158)),"",IF($A158&lt;=INDEX(Piano!$A$10:$A$18,1),0,IF($A158&gt;=INDEX(Piano!$A$10:$A$18,9),INDEX(Piano!$B$10:$B$18,9),INDEX(Piano!$B$10:$B$18,MATCH($A158,Piano!$A$10:$A$18,1))+($A158-INDEX(Piano!$A$10:$A$18,MATCH($A158,Piano!$A$10:$A$18,1)))/(INDEX(Piano!$A$10:$A$18,MATCH($A158,Piano!$A$10:$A$18,1)+1)-INDEX(Piano!$A$10:$A$18,MATCH($A158,Piano!$A$10:$A$18,1)))*(INDEX(Piano!$B$10:$B$18,MATCH($A158,Piano!$A$10:$A$18,1)+1)-INDEX(Piano!$B$10:$B$18,MATCH($A158,Piano!$A$10:$A$18,1))))))</f>
        <v/>
      </c>
      <c r="K158" s="7">
        <f>IF($J158="","",$C158-$J158)</f>
        <v/>
      </c>
    </row>
    <row r="159">
      <c r="A159" s="14" t="n"/>
      <c r="B159" s="15" t="n"/>
      <c r="C159" s="15" t="n"/>
      <c r="D159" s="15" t="n">
        <v>0</v>
      </c>
      <c r="E159" s="15" t="n">
        <v>0</v>
      </c>
      <c r="F159" s="16" t="n"/>
      <c r="G159" s="7">
        <f>IF(NOT(ISNUMBER($A159)),"",$B159+$C159)</f>
        <v/>
      </c>
      <c r="H159" s="7">
        <f>IF(OR(NOT(ISNUMBER($A159)),NOT(ISNUMBER($A158))),"",$G158+$D159-$G159-$E159)</f>
        <v/>
      </c>
      <c r="I159" s="7">
        <f>IF($H159="","",$H159-Piano!$B$4)</f>
        <v/>
      </c>
      <c r="J159" s="7">
        <f>IF(NOT(ISNUMBER($A159)),"",IF($A159&lt;=INDEX(Piano!$A$10:$A$18,1),0,IF($A159&gt;=INDEX(Piano!$A$10:$A$18,9),INDEX(Piano!$B$10:$B$18,9),INDEX(Piano!$B$10:$B$18,MATCH($A159,Piano!$A$10:$A$18,1))+($A159-INDEX(Piano!$A$10:$A$18,MATCH($A159,Piano!$A$10:$A$18,1)))/(INDEX(Piano!$A$10:$A$18,MATCH($A159,Piano!$A$10:$A$18,1)+1)-INDEX(Piano!$A$10:$A$18,MATCH($A159,Piano!$A$10:$A$18,1)))*(INDEX(Piano!$B$10:$B$18,MATCH($A159,Piano!$A$10:$A$18,1)+1)-INDEX(Piano!$B$10:$B$18,MATCH($A159,Piano!$A$10:$A$18,1))))))</f>
        <v/>
      </c>
      <c r="K159" s="7">
        <f>IF($J159="","",$C159-$J159)</f>
        <v/>
      </c>
    </row>
    <row r="160">
      <c r="A160" s="14" t="n"/>
      <c r="B160" s="15" t="n"/>
      <c r="C160" s="15" t="n"/>
      <c r="D160" s="15" t="n">
        <v>0</v>
      </c>
      <c r="E160" s="15" t="n">
        <v>0</v>
      </c>
      <c r="F160" s="16" t="n"/>
      <c r="G160" s="7">
        <f>IF(NOT(ISNUMBER($A160)),"",$B160+$C160)</f>
        <v/>
      </c>
      <c r="H160" s="7">
        <f>IF(OR(NOT(ISNUMBER($A160)),NOT(ISNUMBER($A159))),"",$G159+$D160-$G160-$E160)</f>
        <v/>
      </c>
      <c r="I160" s="7">
        <f>IF($H160="","",$H160-Piano!$B$4)</f>
        <v/>
      </c>
      <c r="J160" s="7">
        <f>IF(NOT(ISNUMBER($A160)),"",IF($A160&lt;=INDEX(Piano!$A$10:$A$18,1),0,IF($A160&gt;=INDEX(Piano!$A$10:$A$18,9),INDEX(Piano!$B$10:$B$18,9),INDEX(Piano!$B$10:$B$18,MATCH($A160,Piano!$A$10:$A$18,1))+($A160-INDEX(Piano!$A$10:$A$18,MATCH($A160,Piano!$A$10:$A$18,1)))/(INDEX(Piano!$A$10:$A$18,MATCH($A160,Piano!$A$10:$A$18,1)+1)-INDEX(Piano!$A$10:$A$18,MATCH($A160,Piano!$A$10:$A$18,1)))*(INDEX(Piano!$B$10:$B$18,MATCH($A160,Piano!$A$10:$A$18,1)+1)-INDEX(Piano!$B$10:$B$18,MATCH($A160,Piano!$A$10:$A$18,1))))))</f>
        <v/>
      </c>
      <c r="K160" s="7">
        <f>IF($J160="","",$C160-$J160)</f>
        <v/>
      </c>
    </row>
    <row r="161">
      <c r="A161" s="14" t="n"/>
      <c r="B161" s="15" t="n"/>
      <c r="C161" s="15" t="n"/>
      <c r="D161" s="15" t="n">
        <v>0</v>
      </c>
      <c r="E161" s="15" t="n">
        <v>0</v>
      </c>
      <c r="F161" s="16" t="n"/>
      <c r="G161" s="7">
        <f>IF(NOT(ISNUMBER($A161)),"",$B161+$C161)</f>
        <v/>
      </c>
      <c r="H161" s="7">
        <f>IF(OR(NOT(ISNUMBER($A161)),NOT(ISNUMBER($A160))),"",$G160+$D161-$G161-$E161)</f>
        <v/>
      </c>
      <c r="I161" s="7">
        <f>IF($H161="","",$H161-Piano!$B$4)</f>
        <v/>
      </c>
      <c r="J161" s="7">
        <f>IF(NOT(ISNUMBER($A161)),"",IF($A161&lt;=INDEX(Piano!$A$10:$A$18,1),0,IF($A161&gt;=INDEX(Piano!$A$10:$A$18,9),INDEX(Piano!$B$10:$B$18,9),INDEX(Piano!$B$10:$B$18,MATCH($A161,Piano!$A$10:$A$18,1))+($A161-INDEX(Piano!$A$10:$A$18,MATCH($A161,Piano!$A$10:$A$18,1)))/(INDEX(Piano!$A$10:$A$18,MATCH($A161,Piano!$A$10:$A$18,1)+1)-INDEX(Piano!$A$10:$A$18,MATCH($A161,Piano!$A$10:$A$18,1)))*(INDEX(Piano!$B$10:$B$18,MATCH($A161,Piano!$A$10:$A$18,1)+1)-INDEX(Piano!$B$10:$B$18,MATCH($A161,Piano!$A$10:$A$18,1))))))</f>
        <v/>
      </c>
      <c r="K161" s="7">
        <f>IF($J161="","",$C161-$J161)</f>
        <v/>
      </c>
    </row>
    <row r="162">
      <c r="A162" s="14" t="n"/>
      <c r="B162" s="15" t="n"/>
      <c r="C162" s="15" t="n"/>
      <c r="D162" s="15" t="n">
        <v>0</v>
      </c>
      <c r="E162" s="15" t="n">
        <v>0</v>
      </c>
      <c r="F162" s="16" t="n"/>
      <c r="G162" s="7">
        <f>IF(NOT(ISNUMBER($A162)),"",$B162+$C162)</f>
        <v/>
      </c>
      <c r="H162" s="7">
        <f>IF(OR(NOT(ISNUMBER($A162)),NOT(ISNUMBER($A161))),"",$G161+$D162-$G162-$E162)</f>
        <v/>
      </c>
      <c r="I162" s="7">
        <f>IF($H162="","",$H162-Piano!$B$4)</f>
        <v/>
      </c>
      <c r="J162" s="7">
        <f>IF(NOT(ISNUMBER($A162)),"",IF($A162&lt;=INDEX(Piano!$A$10:$A$18,1),0,IF($A162&gt;=INDEX(Piano!$A$10:$A$18,9),INDEX(Piano!$B$10:$B$18,9),INDEX(Piano!$B$10:$B$18,MATCH($A162,Piano!$A$10:$A$18,1))+($A162-INDEX(Piano!$A$10:$A$18,MATCH($A162,Piano!$A$10:$A$18,1)))/(INDEX(Piano!$A$10:$A$18,MATCH($A162,Piano!$A$10:$A$18,1)+1)-INDEX(Piano!$A$10:$A$18,MATCH($A162,Piano!$A$10:$A$18,1)))*(INDEX(Piano!$B$10:$B$18,MATCH($A162,Piano!$A$10:$A$18,1)+1)-INDEX(Piano!$B$10:$B$18,MATCH($A162,Piano!$A$10:$A$18,1))))))</f>
        <v/>
      </c>
      <c r="K162" s="7">
        <f>IF($J162="","",$C162-$J162)</f>
        <v/>
      </c>
    </row>
    <row r="163">
      <c r="A163" s="14" t="n"/>
      <c r="B163" s="15" t="n"/>
      <c r="C163" s="15" t="n"/>
      <c r="D163" s="15" t="n">
        <v>0</v>
      </c>
      <c r="E163" s="15" t="n">
        <v>0</v>
      </c>
      <c r="F163" s="16" t="n"/>
      <c r="G163" s="7">
        <f>IF(NOT(ISNUMBER($A163)),"",$B163+$C163)</f>
        <v/>
      </c>
      <c r="H163" s="7">
        <f>IF(OR(NOT(ISNUMBER($A163)),NOT(ISNUMBER($A162))),"",$G162+$D163-$G163-$E163)</f>
        <v/>
      </c>
      <c r="I163" s="7">
        <f>IF($H163="","",$H163-Piano!$B$4)</f>
        <v/>
      </c>
      <c r="J163" s="7">
        <f>IF(NOT(ISNUMBER($A163)),"",IF($A163&lt;=INDEX(Piano!$A$10:$A$18,1),0,IF($A163&gt;=INDEX(Piano!$A$10:$A$18,9),INDEX(Piano!$B$10:$B$18,9),INDEX(Piano!$B$10:$B$18,MATCH($A163,Piano!$A$10:$A$18,1))+($A163-INDEX(Piano!$A$10:$A$18,MATCH($A163,Piano!$A$10:$A$18,1)))/(INDEX(Piano!$A$10:$A$18,MATCH($A163,Piano!$A$10:$A$18,1)+1)-INDEX(Piano!$A$10:$A$18,MATCH($A163,Piano!$A$10:$A$18,1)))*(INDEX(Piano!$B$10:$B$18,MATCH($A163,Piano!$A$10:$A$18,1)+1)-INDEX(Piano!$B$10:$B$18,MATCH($A163,Piano!$A$10:$A$18,1))))))</f>
        <v/>
      </c>
      <c r="K163" s="7">
        <f>IF($J163="","",$C163-$J163)</f>
        <v/>
      </c>
    </row>
    <row r="164">
      <c r="A164" s="14" t="n"/>
      <c r="B164" s="15" t="n"/>
      <c r="C164" s="15" t="n"/>
      <c r="D164" s="15" t="n">
        <v>0</v>
      </c>
      <c r="E164" s="15" t="n">
        <v>0</v>
      </c>
      <c r="F164" s="16" t="n"/>
      <c r="G164" s="7">
        <f>IF(NOT(ISNUMBER($A164)),"",$B164+$C164)</f>
        <v/>
      </c>
      <c r="H164" s="7">
        <f>IF(OR(NOT(ISNUMBER($A164)),NOT(ISNUMBER($A163))),"",$G163+$D164-$G164-$E164)</f>
        <v/>
      </c>
      <c r="I164" s="7">
        <f>IF($H164="","",$H164-Piano!$B$4)</f>
        <v/>
      </c>
      <c r="J164" s="7">
        <f>IF(NOT(ISNUMBER($A164)),"",IF($A164&lt;=INDEX(Piano!$A$10:$A$18,1),0,IF($A164&gt;=INDEX(Piano!$A$10:$A$18,9),INDEX(Piano!$B$10:$B$18,9),INDEX(Piano!$B$10:$B$18,MATCH($A164,Piano!$A$10:$A$18,1))+($A164-INDEX(Piano!$A$10:$A$18,MATCH($A164,Piano!$A$10:$A$18,1)))/(INDEX(Piano!$A$10:$A$18,MATCH($A164,Piano!$A$10:$A$18,1)+1)-INDEX(Piano!$A$10:$A$18,MATCH($A164,Piano!$A$10:$A$18,1)))*(INDEX(Piano!$B$10:$B$18,MATCH($A164,Piano!$A$10:$A$18,1)+1)-INDEX(Piano!$B$10:$B$18,MATCH($A164,Piano!$A$10:$A$18,1))))))</f>
        <v/>
      </c>
      <c r="K164" s="7">
        <f>IF($J164="","",$C164-$J164)</f>
        <v/>
      </c>
    </row>
    <row r="165">
      <c r="A165" s="14" t="n"/>
      <c r="B165" s="15" t="n"/>
      <c r="C165" s="15" t="n"/>
      <c r="D165" s="15" t="n">
        <v>0</v>
      </c>
      <c r="E165" s="15" t="n">
        <v>0</v>
      </c>
      <c r="F165" s="16" t="n"/>
      <c r="G165" s="7">
        <f>IF(NOT(ISNUMBER($A165)),"",$B165+$C165)</f>
        <v/>
      </c>
      <c r="H165" s="7">
        <f>IF(OR(NOT(ISNUMBER($A165)),NOT(ISNUMBER($A164))),"",$G164+$D165-$G165-$E165)</f>
        <v/>
      </c>
      <c r="I165" s="7">
        <f>IF($H165="","",$H165-Piano!$B$4)</f>
        <v/>
      </c>
      <c r="J165" s="7">
        <f>IF(NOT(ISNUMBER($A165)),"",IF($A165&lt;=INDEX(Piano!$A$10:$A$18,1),0,IF($A165&gt;=INDEX(Piano!$A$10:$A$18,9),INDEX(Piano!$B$10:$B$18,9),INDEX(Piano!$B$10:$B$18,MATCH($A165,Piano!$A$10:$A$18,1))+($A165-INDEX(Piano!$A$10:$A$18,MATCH($A165,Piano!$A$10:$A$18,1)))/(INDEX(Piano!$A$10:$A$18,MATCH($A165,Piano!$A$10:$A$18,1)+1)-INDEX(Piano!$A$10:$A$18,MATCH($A165,Piano!$A$10:$A$18,1)))*(INDEX(Piano!$B$10:$B$18,MATCH($A165,Piano!$A$10:$A$18,1)+1)-INDEX(Piano!$B$10:$B$18,MATCH($A165,Piano!$A$10:$A$18,1))))))</f>
        <v/>
      </c>
      <c r="K165" s="7">
        <f>IF($J165="","",$C165-$J165)</f>
        <v/>
      </c>
    </row>
    <row r="166">
      <c r="A166" s="14" t="n"/>
      <c r="B166" s="15" t="n"/>
      <c r="C166" s="15" t="n"/>
      <c r="D166" s="15" t="n">
        <v>0</v>
      </c>
      <c r="E166" s="15" t="n">
        <v>0</v>
      </c>
      <c r="F166" s="16" t="n"/>
      <c r="G166" s="7">
        <f>IF(NOT(ISNUMBER($A166)),"",$B166+$C166)</f>
        <v/>
      </c>
      <c r="H166" s="7">
        <f>IF(OR(NOT(ISNUMBER($A166)),NOT(ISNUMBER($A165))),"",$G165+$D166-$G166-$E166)</f>
        <v/>
      </c>
      <c r="I166" s="7">
        <f>IF($H166="","",$H166-Piano!$B$4)</f>
        <v/>
      </c>
      <c r="J166" s="7">
        <f>IF(NOT(ISNUMBER($A166)),"",IF($A166&lt;=INDEX(Piano!$A$10:$A$18,1),0,IF($A166&gt;=INDEX(Piano!$A$10:$A$18,9),INDEX(Piano!$B$10:$B$18,9),INDEX(Piano!$B$10:$B$18,MATCH($A166,Piano!$A$10:$A$18,1))+($A166-INDEX(Piano!$A$10:$A$18,MATCH($A166,Piano!$A$10:$A$18,1)))/(INDEX(Piano!$A$10:$A$18,MATCH($A166,Piano!$A$10:$A$18,1)+1)-INDEX(Piano!$A$10:$A$18,MATCH($A166,Piano!$A$10:$A$18,1)))*(INDEX(Piano!$B$10:$B$18,MATCH($A166,Piano!$A$10:$A$18,1)+1)-INDEX(Piano!$B$10:$B$18,MATCH($A166,Piano!$A$10:$A$18,1))))))</f>
        <v/>
      </c>
      <c r="K166" s="7">
        <f>IF($J166="","",$C166-$J166)</f>
        <v/>
      </c>
    </row>
    <row r="167">
      <c r="A167" s="14" t="n"/>
      <c r="B167" s="15" t="n"/>
      <c r="C167" s="15" t="n"/>
      <c r="D167" s="15" t="n">
        <v>0</v>
      </c>
      <c r="E167" s="15" t="n">
        <v>0</v>
      </c>
      <c r="F167" s="16" t="n"/>
      <c r="G167" s="7">
        <f>IF(NOT(ISNUMBER($A167)),"",$B167+$C167)</f>
        <v/>
      </c>
      <c r="H167" s="7">
        <f>IF(OR(NOT(ISNUMBER($A167)),NOT(ISNUMBER($A166))),"",$G166+$D167-$G167-$E167)</f>
        <v/>
      </c>
      <c r="I167" s="7">
        <f>IF($H167="","",$H167-Piano!$B$4)</f>
        <v/>
      </c>
      <c r="J167" s="7">
        <f>IF(NOT(ISNUMBER($A167)),"",IF($A167&lt;=INDEX(Piano!$A$10:$A$18,1),0,IF($A167&gt;=INDEX(Piano!$A$10:$A$18,9),INDEX(Piano!$B$10:$B$18,9),INDEX(Piano!$B$10:$B$18,MATCH($A167,Piano!$A$10:$A$18,1))+($A167-INDEX(Piano!$A$10:$A$18,MATCH($A167,Piano!$A$10:$A$18,1)))/(INDEX(Piano!$A$10:$A$18,MATCH($A167,Piano!$A$10:$A$18,1)+1)-INDEX(Piano!$A$10:$A$18,MATCH($A167,Piano!$A$10:$A$18,1)))*(INDEX(Piano!$B$10:$B$18,MATCH($A167,Piano!$A$10:$A$18,1)+1)-INDEX(Piano!$B$10:$B$18,MATCH($A167,Piano!$A$10:$A$18,1))))))</f>
        <v/>
      </c>
      <c r="K167" s="7">
        <f>IF($J167="","",$C167-$J167)</f>
        <v/>
      </c>
    </row>
    <row r="168">
      <c r="A168" s="14" t="n"/>
      <c r="B168" s="15" t="n"/>
      <c r="C168" s="15" t="n"/>
      <c r="D168" s="15" t="n">
        <v>0</v>
      </c>
      <c r="E168" s="15" t="n">
        <v>0</v>
      </c>
      <c r="F168" s="16" t="n"/>
      <c r="G168" s="7">
        <f>IF(NOT(ISNUMBER($A168)),"",$B168+$C168)</f>
        <v/>
      </c>
      <c r="H168" s="7">
        <f>IF(OR(NOT(ISNUMBER($A168)),NOT(ISNUMBER($A167))),"",$G167+$D168-$G168-$E168)</f>
        <v/>
      </c>
      <c r="I168" s="7">
        <f>IF($H168="","",$H168-Piano!$B$4)</f>
        <v/>
      </c>
      <c r="J168" s="7">
        <f>IF(NOT(ISNUMBER($A168)),"",IF($A168&lt;=INDEX(Piano!$A$10:$A$18,1),0,IF($A168&gt;=INDEX(Piano!$A$10:$A$18,9),INDEX(Piano!$B$10:$B$18,9),INDEX(Piano!$B$10:$B$18,MATCH($A168,Piano!$A$10:$A$18,1))+($A168-INDEX(Piano!$A$10:$A$18,MATCH($A168,Piano!$A$10:$A$18,1)))/(INDEX(Piano!$A$10:$A$18,MATCH($A168,Piano!$A$10:$A$18,1)+1)-INDEX(Piano!$A$10:$A$18,MATCH($A168,Piano!$A$10:$A$18,1)))*(INDEX(Piano!$B$10:$B$18,MATCH($A168,Piano!$A$10:$A$18,1)+1)-INDEX(Piano!$B$10:$B$18,MATCH($A168,Piano!$A$10:$A$18,1))))))</f>
        <v/>
      </c>
      <c r="K168" s="7">
        <f>IF($J168="","",$C168-$J168)</f>
        <v/>
      </c>
    </row>
    <row r="169">
      <c r="A169" s="14" t="n"/>
      <c r="B169" s="15" t="n"/>
      <c r="C169" s="15" t="n"/>
      <c r="D169" s="15" t="n">
        <v>0</v>
      </c>
      <c r="E169" s="15" t="n">
        <v>0</v>
      </c>
      <c r="F169" s="16" t="n"/>
      <c r="G169" s="7">
        <f>IF(NOT(ISNUMBER($A169)),"",$B169+$C169)</f>
        <v/>
      </c>
      <c r="H169" s="7">
        <f>IF(OR(NOT(ISNUMBER($A169)),NOT(ISNUMBER($A168))),"",$G168+$D169-$G169-$E169)</f>
        <v/>
      </c>
      <c r="I169" s="7">
        <f>IF($H169="","",$H169-Piano!$B$4)</f>
        <v/>
      </c>
      <c r="J169" s="7">
        <f>IF(NOT(ISNUMBER($A169)),"",IF($A169&lt;=INDEX(Piano!$A$10:$A$18,1),0,IF($A169&gt;=INDEX(Piano!$A$10:$A$18,9),INDEX(Piano!$B$10:$B$18,9),INDEX(Piano!$B$10:$B$18,MATCH($A169,Piano!$A$10:$A$18,1))+($A169-INDEX(Piano!$A$10:$A$18,MATCH($A169,Piano!$A$10:$A$18,1)))/(INDEX(Piano!$A$10:$A$18,MATCH($A169,Piano!$A$10:$A$18,1)+1)-INDEX(Piano!$A$10:$A$18,MATCH($A169,Piano!$A$10:$A$18,1)))*(INDEX(Piano!$B$10:$B$18,MATCH($A169,Piano!$A$10:$A$18,1)+1)-INDEX(Piano!$B$10:$B$18,MATCH($A169,Piano!$A$10:$A$18,1))))))</f>
        <v/>
      </c>
      <c r="K169" s="7">
        <f>IF($J169="","",$C169-$J169)</f>
        <v/>
      </c>
    </row>
    <row r="170">
      <c r="A170" s="14" t="n"/>
      <c r="B170" s="15" t="n"/>
      <c r="C170" s="15" t="n"/>
      <c r="D170" s="15" t="n">
        <v>0</v>
      </c>
      <c r="E170" s="15" t="n">
        <v>0</v>
      </c>
      <c r="F170" s="16" t="n"/>
      <c r="G170" s="7">
        <f>IF(NOT(ISNUMBER($A170)),"",$B170+$C170)</f>
        <v/>
      </c>
      <c r="H170" s="7">
        <f>IF(OR(NOT(ISNUMBER($A170)),NOT(ISNUMBER($A169))),"",$G169+$D170-$G170-$E170)</f>
        <v/>
      </c>
      <c r="I170" s="7">
        <f>IF($H170="","",$H170-Piano!$B$4)</f>
        <v/>
      </c>
      <c r="J170" s="7">
        <f>IF(NOT(ISNUMBER($A170)),"",IF($A170&lt;=INDEX(Piano!$A$10:$A$18,1),0,IF($A170&gt;=INDEX(Piano!$A$10:$A$18,9),INDEX(Piano!$B$10:$B$18,9),INDEX(Piano!$B$10:$B$18,MATCH($A170,Piano!$A$10:$A$18,1))+($A170-INDEX(Piano!$A$10:$A$18,MATCH($A170,Piano!$A$10:$A$18,1)))/(INDEX(Piano!$A$10:$A$18,MATCH($A170,Piano!$A$10:$A$18,1)+1)-INDEX(Piano!$A$10:$A$18,MATCH($A170,Piano!$A$10:$A$18,1)))*(INDEX(Piano!$B$10:$B$18,MATCH($A170,Piano!$A$10:$A$18,1)+1)-INDEX(Piano!$B$10:$B$18,MATCH($A170,Piano!$A$10:$A$18,1))))))</f>
        <v/>
      </c>
      <c r="K170" s="7">
        <f>IF($J170="","",$C170-$J170)</f>
        <v/>
      </c>
    </row>
    <row r="171">
      <c r="A171" s="14" t="n"/>
      <c r="B171" s="15" t="n"/>
      <c r="C171" s="15" t="n"/>
      <c r="D171" s="15" t="n">
        <v>0</v>
      </c>
      <c r="E171" s="15" t="n">
        <v>0</v>
      </c>
      <c r="F171" s="16" t="n"/>
      <c r="G171" s="7">
        <f>IF(NOT(ISNUMBER($A171)),"",$B171+$C171)</f>
        <v/>
      </c>
      <c r="H171" s="7">
        <f>IF(OR(NOT(ISNUMBER($A171)),NOT(ISNUMBER($A170))),"",$G170+$D171-$G171-$E171)</f>
        <v/>
      </c>
      <c r="I171" s="7">
        <f>IF($H171="","",$H171-Piano!$B$4)</f>
        <v/>
      </c>
      <c r="J171" s="7">
        <f>IF(NOT(ISNUMBER($A171)),"",IF($A171&lt;=INDEX(Piano!$A$10:$A$18,1),0,IF($A171&gt;=INDEX(Piano!$A$10:$A$18,9),INDEX(Piano!$B$10:$B$18,9),INDEX(Piano!$B$10:$B$18,MATCH($A171,Piano!$A$10:$A$18,1))+($A171-INDEX(Piano!$A$10:$A$18,MATCH($A171,Piano!$A$10:$A$18,1)))/(INDEX(Piano!$A$10:$A$18,MATCH($A171,Piano!$A$10:$A$18,1)+1)-INDEX(Piano!$A$10:$A$18,MATCH($A171,Piano!$A$10:$A$18,1)))*(INDEX(Piano!$B$10:$B$18,MATCH($A171,Piano!$A$10:$A$18,1)+1)-INDEX(Piano!$B$10:$B$18,MATCH($A171,Piano!$A$10:$A$18,1))))))</f>
        <v/>
      </c>
      <c r="K171" s="7">
        <f>IF($J171="","",$C171-$J171)</f>
        <v/>
      </c>
    </row>
    <row r="172">
      <c r="A172" s="14" t="n"/>
      <c r="B172" s="15" t="n"/>
      <c r="C172" s="15" t="n"/>
      <c r="D172" s="15" t="n">
        <v>0</v>
      </c>
      <c r="E172" s="15" t="n">
        <v>0</v>
      </c>
      <c r="F172" s="16" t="n"/>
      <c r="G172" s="7">
        <f>IF(NOT(ISNUMBER($A172)),"",$B172+$C172)</f>
        <v/>
      </c>
      <c r="H172" s="7">
        <f>IF(OR(NOT(ISNUMBER($A172)),NOT(ISNUMBER($A171))),"",$G171+$D172-$G172-$E172)</f>
        <v/>
      </c>
      <c r="I172" s="7">
        <f>IF($H172="","",$H172-Piano!$B$4)</f>
        <v/>
      </c>
      <c r="J172" s="7">
        <f>IF(NOT(ISNUMBER($A172)),"",IF($A172&lt;=INDEX(Piano!$A$10:$A$18,1),0,IF($A172&gt;=INDEX(Piano!$A$10:$A$18,9),INDEX(Piano!$B$10:$B$18,9),INDEX(Piano!$B$10:$B$18,MATCH($A172,Piano!$A$10:$A$18,1))+($A172-INDEX(Piano!$A$10:$A$18,MATCH($A172,Piano!$A$10:$A$18,1)))/(INDEX(Piano!$A$10:$A$18,MATCH($A172,Piano!$A$10:$A$18,1)+1)-INDEX(Piano!$A$10:$A$18,MATCH($A172,Piano!$A$10:$A$18,1)))*(INDEX(Piano!$B$10:$B$18,MATCH($A172,Piano!$A$10:$A$18,1)+1)-INDEX(Piano!$B$10:$B$18,MATCH($A172,Piano!$A$10:$A$18,1))))))</f>
        <v/>
      </c>
      <c r="K172" s="7">
        <f>IF($J172="","",$C172-$J172)</f>
        <v/>
      </c>
    </row>
    <row r="173">
      <c r="A173" s="14" t="n"/>
      <c r="B173" s="15" t="n"/>
      <c r="C173" s="15" t="n"/>
      <c r="D173" s="15" t="n">
        <v>0</v>
      </c>
      <c r="E173" s="15" t="n">
        <v>0</v>
      </c>
      <c r="F173" s="16" t="n"/>
      <c r="G173" s="7">
        <f>IF(NOT(ISNUMBER($A173)),"",$B173+$C173)</f>
        <v/>
      </c>
      <c r="H173" s="7">
        <f>IF(OR(NOT(ISNUMBER($A173)),NOT(ISNUMBER($A172))),"",$G172+$D173-$G173-$E173)</f>
        <v/>
      </c>
      <c r="I173" s="7">
        <f>IF($H173="","",$H173-Piano!$B$4)</f>
        <v/>
      </c>
      <c r="J173" s="7">
        <f>IF(NOT(ISNUMBER($A173)),"",IF($A173&lt;=INDEX(Piano!$A$10:$A$18,1),0,IF($A173&gt;=INDEX(Piano!$A$10:$A$18,9),INDEX(Piano!$B$10:$B$18,9),INDEX(Piano!$B$10:$B$18,MATCH($A173,Piano!$A$10:$A$18,1))+($A173-INDEX(Piano!$A$10:$A$18,MATCH($A173,Piano!$A$10:$A$18,1)))/(INDEX(Piano!$A$10:$A$18,MATCH($A173,Piano!$A$10:$A$18,1)+1)-INDEX(Piano!$A$10:$A$18,MATCH($A173,Piano!$A$10:$A$18,1)))*(INDEX(Piano!$B$10:$B$18,MATCH($A173,Piano!$A$10:$A$18,1)+1)-INDEX(Piano!$B$10:$B$18,MATCH($A173,Piano!$A$10:$A$18,1))))))</f>
        <v/>
      </c>
      <c r="K173" s="7">
        <f>IF($J173="","",$C173-$J173)</f>
        <v/>
      </c>
    </row>
    <row r="174">
      <c r="A174" s="14" t="n"/>
      <c r="B174" s="15" t="n"/>
      <c r="C174" s="15" t="n"/>
      <c r="D174" s="15" t="n">
        <v>0</v>
      </c>
      <c r="E174" s="15" t="n">
        <v>0</v>
      </c>
      <c r="F174" s="16" t="n"/>
      <c r="G174" s="7">
        <f>IF(NOT(ISNUMBER($A174)),"",$B174+$C174)</f>
        <v/>
      </c>
      <c r="H174" s="7">
        <f>IF(OR(NOT(ISNUMBER($A174)),NOT(ISNUMBER($A173))),"",$G173+$D174-$G174-$E174)</f>
        <v/>
      </c>
      <c r="I174" s="7">
        <f>IF($H174="","",$H174-Piano!$B$4)</f>
        <v/>
      </c>
      <c r="J174" s="7">
        <f>IF(NOT(ISNUMBER($A174)),"",IF($A174&lt;=INDEX(Piano!$A$10:$A$18,1),0,IF($A174&gt;=INDEX(Piano!$A$10:$A$18,9),INDEX(Piano!$B$10:$B$18,9),INDEX(Piano!$B$10:$B$18,MATCH($A174,Piano!$A$10:$A$18,1))+($A174-INDEX(Piano!$A$10:$A$18,MATCH($A174,Piano!$A$10:$A$18,1)))/(INDEX(Piano!$A$10:$A$18,MATCH($A174,Piano!$A$10:$A$18,1)+1)-INDEX(Piano!$A$10:$A$18,MATCH($A174,Piano!$A$10:$A$18,1)))*(INDEX(Piano!$B$10:$B$18,MATCH($A174,Piano!$A$10:$A$18,1)+1)-INDEX(Piano!$B$10:$B$18,MATCH($A174,Piano!$A$10:$A$18,1))))))</f>
        <v/>
      </c>
      <c r="K174" s="7">
        <f>IF($J174="","",$C174-$J174)</f>
        <v/>
      </c>
    </row>
    <row r="175">
      <c r="A175" s="14" t="n"/>
      <c r="B175" s="15" t="n"/>
      <c r="C175" s="15" t="n"/>
      <c r="D175" s="15" t="n">
        <v>0</v>
      </c>
      <c r="E175" s="15" t="n">
        <v>0</v>
      </c>
      <c r="F175" s="16" t="n"/>
      <c r="G175" s="7">
        <f>IF(NOT(ISNUMBER($A175)),"",$B175+$C175)</f>
        <v/>
      </c>
      <c r="H175" s="7">
        <f>IF(OR(NOT(ISNUMBER($A175)),NOT(ISNUMBER($A174))),"",$G174+$D175-$G175-$E175)</f>
        <v/>
      </c>
      <c r="I175" s="7">
        <f>IF($H175="","",$H175-Piano!$B$4)</f>
        <v/>
      </c>
      <c r="J175" s="7">
        <f>IF(NOT(ISNUMBER($A175)),"",IF($A175&lt;=INDEX(Piano!$A$10:$A$18,1),0,IF($A175&gt;=INDEX(Piano!$A$10:$A$18,9),INDEX(Piano!$B$10:$B$18,9),INDEX(Piano!$B$10:$B$18,MATCH($A175,Piano!$A$10:$A$18,1))+($A175-INDEX(Piano!$A$10:$A$18,MATCH($A175,Piano!$A$10:$A$18,1)))/(INDEX(Piano!$A$10:$A$18,MATCH($A175,Piano!$A$10:$A$18,1)+1)-INDEX(Piano!$A$10:$A$18,MATCH($A175,Piano!$A$10:$A$18,1)))*(INDEX(Piano!$B$10:$B$18,MATCH($A175,Piano!$A$10:$A$18,1)+1)-INDEX(Piano!$B$10:$B$18,MATCH($A175,Piano!$A$10:$A$18,1))))))</f>
        <v/>
      </c>
      <c r="K175" s="7">
        <f>IF($J175="","",$C175-$J175)</f>
        <v/>
      </c>
    </row>
    <row r="176">
      <c r="A176" s="14" t="n"/>
      <c r="B176" s="15" t="n"/>
      <c r="C176" s="15" t="n"/>
      <c r="D176" s="15" t="n">
        <v>0</v>
      </c>
      <c r="E176" s="15" t="n">
        <v>0</v>
      </c>
      <c r="F176" s="16" t="n"/>
      <c r="G176" s="7">
        <f>IF(NOT(ISNUMBER($A176)),"",$B176+$C176)</f>
        <v/>
      </c>
      <c r="H176" s="7">
        <f>IF(OR(NOT(ISNUMBER($A176)),NOT(ISNUMBER($A175))),"",$G175+$D176-$G176-$E176)</f>
        <v/>
      </c>
      <c r="I176" s="7">
        <f>IF($H176="","",$H176-Piano!$B$4)</f>
        <v/>
      </c>
      <c r="J176" s="7">
        <f>IF(NOT(ISNUMBER($A176)),"",IF($A176&lt;=INDEX(Piano!$A$10:$A$18,1),0,IF($A176&gt;=INDEX(Piano!$A$10:$A$18,9),INDEX(Piano!$B$10:$B$18,9),INDEX(Piano!$B$10:$B$18,MATCH($A176,Piano!$A$10:$A$18,1))+($A176-INDEX(Piano!$A$10:$A$18,MATCH($A176,Piano!$A$10:$A$18,1)))/(INDEX(Piano!$A$10:$A$18,MATCH($A176,Piano!$A$10:$A$18,1)+1)-INDEX(Piano!$A$10:$A$18,MATCH($A176,Piano!$A$10:$A$18,1)))*(INDEX(Piano!$B$10:$B$18,MATCH($A176,Piano!$A$10:$A$18,1)+1)-INDEX(Piano!$B$10:$B$18,MATCH($A176,Piano!$A$10:$A$18,1))))))</f>
        <v/>
      </c>
      <c r="K176" s="7">
        <f>IF($J176="","",$C176-$J176)</f>
        <v/>
      </c>
    </row>
    <row r="177">
      <c r="A177" s="14" t="n"/>
      <c r="B177" s="15" t="n"/>
      <c r="C177" s="15" t="n"/>
      <c r="D177" s="15" t="n">
        <v>0</v>
      </c>
      <c r="E177" s="15" t="n">
        <v>0</v>
      </c>
      <c r="F177" s="16" t="n"/>
      <c r="G177" s="7">
        <f>IF(NOT(ISNUMBER($A177)),"",$B177+$C177)</f>
        <v/>
      </c>
      <c r="H177" s="7">
        <f>IF(OR(NOT(ISNUMBER($A177)),NOT(ISNUMBER($A176))),"",$G176+$D177-$G177-$E177)</f>
        <v/>
      </c>
      <c r="I177" s="7">
        <f>IF($H177="","",$H177-Piano!$B$4)</f>
        <v/>
      </c>
      <c r="J177" s="7">
        <f>IF(NOT(ISNUMBER($A177)),"",IF($A177&lt;=INDEX(Piano!$A$10:$A$18,1),0,IF($A177&gt;=INDEX(Piano!$A$10:$A$18,9),INDEX(Piano!$B$10:$B$18,9),INDEX(Piano!$B$10:$B$18,MATCH($A177,Piano!$A$10:$A$18,1))+($A177-INDEX(Piano!$A$10:$A$18,MATCH($A177,Piano!$A$10:$A$18,1)))/(INDEX(Piano!$A$10:$A$18,MATCH($A177,Piano!$A$10:$A$18,1)+1)-INDEX(Piano!$A$10:$A$18,MATCH($A177,Piano!$A$10:$A$18,1)))*(INDEX(Piano!$B$10:$B$18,MATCH($A177,Piano!$A$10:$A$18,1)+1)-INDEX(Piano!$B$10:$B$18,MATCH($A177,Piano!$A$10:$A$18,1))))))</f>
        <v/>
      </c>
      <c r="K177" s="7">
        <f>IF($J177="","",$C177-$J177)</f>
        <v/>
      </c>
    </row>
    <row r="178">
      <c r="A178" s="14" t="n"/>
      <c r="B178" s="15" t="n"/>
      <c r="C178" s="15" t="n"/>
      <c r="D178" s="15" t="n">
        <v>0</v>
      </c>
      <c r="E178" s="15" t="n">
        <v>0</v>
      </c>
      <c r="F178" s="16" t="n"/>
      <c r="G178" s="7">
        <f>IF(NOT(ISNUMBER($A178)),"",$B178+$C178)</f>
        <v/>
      </c>
      <c r="H178" s="7">
        <f>IF(OR(NOT(ISNUMBER($A178)),NOT(ISNUMBER($A177))),"",$G177+$D178-$G178-$E178)</f>
        <v/>
      </c>
      <c r="I178" s="7">
        <f>IF($H178="","",$H178-Piano!$B$4)</f>
        <v/>
      </c>
      <c r="J178" s="7">
        <f>IF(NOT(ISNUMBER($A178)),"",IF($A178&lt;=INDEX(Piano!$A$10:$A$18,1),0,IF($A178&gt;=INDEX(Piano!$A$10:$A$18,9),INDEX(Piano!$B$10:$B$18,9),INDEX(Piano!$B$10:$B$18,MATCH($A178,Piano!$A$10:$A$18,1))+($A178-INDEX(Piano!$A$10:$A$18,MATCH($A178,Piano!$A$10:$A$18,1)))/(INDEX(Piano!$A$10:$A$18,MATCH($A178,Piano!$A$10:$A$18,1)+1)-INDEX(Piano!$A$10:$A$18,MATCH($A178,Piano!$A$10:$A$18,1)))*(INDEX(Piano!$B$10:$B$18,MATCH($A178,Piano!$A$10:$A$18,1)+1)-INDEX(Piano!$B$10:$B$18,MATCH($A178,Piano!$A$10:$A$18,1))))))</f>
        <v/>
      </c>
      <c r="K178" s="7">
        <f>IF($J178="","",$C178-$J178)</f>
        <v/>
      </c>
    </row>
    <row r="179">
      <c r="A179" s="14" t="n"/>
      <c r="B179" s="15" t="n"/>
      <c r="C179" s="15" t="n"/>
      <c r="D179" s="15" t="n">
        <v>0</v>
      </c>
      <c r="E179" s="15" t="n">
        <v>0</v>
      </c>
      <c r="F179" s="16" t="n"/>
      <c r="G179" s="7">
        <f>IF(NOT(ISNUMBER($A179)),"",$B179+$C179)</f>
        <v/>
      </c>
      <c r="H179" s="7">
        <f>IF(OR(NOT(ISNUMBER($A179)),NOT(ISNUMBER($A178))),"",$G178+$D179-$G179-$E179)</f>
        <v/>
      </c>
      <c r="I179" s="7">
        <f>IF($H179="","",$H179-Piano!$B$4)</f>
        <v/>
      </c>
      <c r="J179" s="7">
        <f>IF(NOT(ISNUMBER($A179)),"",IF($A179&lt;=INDEX(Piano!$A$10:$A$18,1),0,IF($A179&gt;=INDEX(Piano!$A$10:$A$18,9),INDEX(Piano!$B$10:$B$18,9),INDEX(Piano!$B$10:$B$18,MATCH($A179,Piano!$A$10:$A$18,1))+($A179-INDEX(Piano!$A$10:$A$18,MATCH($A179,Piano!$A$10:$A$18,1)))/(INDEX(Piano!$A$10:$A$18,MATCH($A179,Piano!$A$10:$A$18,1)+1)-INDEX(Piano!$A$10:$A$18,MATCH($A179,Piano!$A$10:$A$18,1)))*(INDEX(Piano!$B$10:$B$18,MATCH($A179,Piano!$A$10:$A$18,1)+1)-INDEX(Piano!$B$10:$B$18,MATCH($A179,Piano!$A$10:$A$18,1))))))</f>
        <v/>
      </c>
      <c r="K179" s="7">
        <f>IF($J179="","",$C179-$J179)</f>
        <v/>
      </c>
    </row>
    <row r="180">
      <c r="A180" s="14" t="n"/>
      <c r="B180" s="15" t="n"/>
      <c r="C180" s="15" t="n"/>
      <c r="D180" s="15" t="n">
        <v>0</v>
      </c>
      <c r="E180" s="15" t="n">
        <v>0</v>
      </c>
      <c r="F180" s="16" t="n"/>
      <c r="G180" s="7">
        <f>IF(NOT(ISNUMBER($A180)),"",$B180+$C180)</f>
        <v/>
      </c>
      <c r="H180" s="7">
        <f>IF(OR(NOT(ISNUMBER($A180)),NOT(ISNUMBER($A179))),"",$G179+$D180-$G180-$E180)</f>
        <v/>
      </c>
      <c r="I180" s="7">
        <f>IF($H180="","",$H180-Piano!$B$4)</f>
        <v/>
      </c>
      <c r="J180" s="7">
        <f>IF(NOT(ISNUMBER($A180)),"",IF($A180&lt;=INDEX(Piano!$A$10:$A$18,1),0,IF($A180&gt;=INDEX(Piano!$A$10:$A$18,9),INDEX(Piano!$B$10:$B$18,9),INDEX(Piano!$B$10:$B$18,MATCH($A180,Piano!$A$10:$A$18,1))+($A180-INDEX(Piano!$A$10:$A$18,MATCH($A180,Piano!$A$10:$A$18,1)))/(INDEX(Piano!$A$10:$A$18,MATCH($A180,Piano!$A$10:$A$18,1)+1)-INDEX(Piano!$A$10:$A$18,MATCH($A180,Piano!$A$10:$A$18,1)))*(INDEX(Piano!$B$10:$B$18,MATCH($A180,Piano!$A$10:$A$18,1)+1)-INDEX(Piano!$B$10:$B$18,MATCH($A180,Piano!$A$10:$A$18,1))))))</f>
        <v/>
      </c>
      <c r="K180" s="7">
        <f>IF($J180="","",$C180-$J180)</f>
        <v/>
      </c>
    </row>
    <row r="181">
      <c r="A181" s="14" t="n"/>
      <c r="B181" s="15" t="n"/>
      <c r="C181" s="15" t="n"/>
      <c r="D181" s="15" t="n">
        <v>0</v>
      </c>
      <c r="E181" s="15" t="n">
        <v>0</v>
      </c>
      <c r="F181" s="16" t="n"/>
      <c r="G181" s="7">
        <f>IF(NOT(ISNUMBER($A181)),"",$B181+$C181)</f>
        <v/>
      </c>
      <c r="H181" s="7">
        <f>IF(OR(NOT(ISNUMBER($A181)),NOT(ISNUMBER($A180))),"",$G180+$D181-$G181-$E181)</f>
        <v/>
      </c>
      <c r="I181" s="7">
        <f>IF($H181="","",$H181-Piano!$B$4)</f>
        <v/>
      </c>
      <c r="J181" s="7">
        <f>IF(NOT(ISNUMBER($A181)),"",IF($A181&lt;=INDEX(Piano!$A$10:$A$18,1),0,IF($A181&gt;=INDEX(Piano!$A$10:$A$18,9),INDEX(Piano!$B$10:$B$18,9),INDEX(Piano!$B$10:$B$18,MATCH($A181,Piano!$A$10:$A$18,1))+($A181-INDEX(Piano!$A$10:$A$18,MATCH($A181,Piano!$A$10:$A$18,1)))/(INDEX(Piano!$A$10:$A$18,MATCH($A181,Piano!$A$10:$A$18,1)+1)-INDEX(Piano!$A$10:$A$18,MATCH($A181,Piano!$A$10:$A$18,1)))*(INDEX(Piano!$B$10:$B$18,MATCH($A181,Piano!$A$10:$A$18,1)+1)-INDEX(Piano!$B$10:$B$18,MATCH($A181,Piano!$A$10:$A$18,1))))))</f>
        <v/>
      </c>
      <c r="K181" s="7">
        <f>IF($J181="","",$C181-$J181)</f>
        <v/>
      </c>
    </row>
    <row r="182">
      <c r="A182" s="14" t="n"/>
      <c r="B182" s="15" t="n"/>
      <c r="C182" s="15" t="n"/>
      <c r="D182" s="15" t="n">
        <v>0</v>
      </c>
      <c r="E182" s="15" t="n">
        <v>0</v>
      </c>
      <c r="F182" s="16" t="n"/>
      <c r="G182" s="7">
        <f>IF(NOT(ISNUMBER($A182)),"",$B182+$C182)</f>
        <v/>
      </c>
      <c r="H182" s="7">
        <f>IF(OR(NOT(ISNUMBER($A182)),NOT(ISNUMBER($A181))),"",$G181+$D182-$G182-$E182)</f>
        <v/>
      </c>
      <c r="I182" s="7">
        <f>IF($H182="","",$H182-Piano!$B$4)</f>
        <v/>
      </c>
      <c r="J182" s="7">
        <f>IF(NOT(ISNUMBER($A182)),"",IF($A182&lt;=INDEX(Piano!$A$10:$A$18,1),0,IF($A182&gt;=INDEX(Piano!$A$10:$A$18,9),INDEX(Piano!$B$10:$B$18,9),INDEX(Piano!$B$10:$B$18,MATCH($A182,Piano!$A$10:$A$18,1))+($A182-INDEX(Piano!$A$10:$A$18,MATCH($A182,Piano!$A$10:$A$18,1)))/(INDEX(Piano!$A$10:$A$18,MATCH($A182,Piano!$A$10:$A$18,1)+1)-INDEX(Piano!$A$10:$A$18,MATCH($A182,Piano!$A$10:$A$18,1)))*(INDEX(Piano!$B$10:$B$18,MATCH($A182,Piano!$A$10:$A$18,1)+1)-INDEX(Piano!$B$10:$B$18,MATCH($A182,Piano!$A$10:$A$18,1))))))</f>
        <v/>
      </c>
      <c r="K182" s="7">
        <f>IF($J182="","",$C182-$J182)</f>
        <v/>
      </c>
    </row>
    <row r="183">
      <c r="A183" s="14" t="n"/>
      <c r="B183" s="15" t="n"/>
      <c r="C183" s="15" t="n"/>
      <c r="D183" s="15" t="n">
        <v>0</v>
      </c>
      <c r="E183" s="15" t="n">
        <v>0</v>
      </c>
      <c r="F183" s="16" t="n"/>
      <c r="G183" s="7">
        <f>IF(NOT(ISNUMBER($A183)),"",$B183+$C183)</f>
        <v/>
      </c>
      <c r="H183" s="7">
        <f>IF(OR(NOT(ISNUMBER($A183)),NOT(ISNUMBER($A182))),"",$G182+$D183-$G183-$E183)</f>
        <v/>
      </c>
      <c r="I183" s="7">
        <f>IF($H183="","",$H183-Piano!$B$4)</f>
        <v/>
      </c>
      <c r="J183" s="7">
        <f>IF(NOT(ISNUMBER($A183)),"",IF($A183&lt;=INDEX(Piano!$A$10:$A$18,1),0,IF($A183&gt;=INDEX(Piano!$A$10:$A$18,9),INDEX(Piano!$B$10:$B$18,9),INDEX(Piano!$B$10:$B$18,MATCH($A183,Piano!$A$10:$A$18,1))+($A183-INDEX(Piano!$A$10:$A$18,MATCH($A183,Piano!$A$10:$A$18,1)))/(INDEX(Piano!$A$10:$A$18,MATCH($A183,Piano!$A$10:$A$18,1)+1)-INDEX(Piano!$A$10:$A$18,MATCH($A183,Piano!$A$10:$A$18,1)))*(INDEX(Piano!$B$10:$B$18,MATCH($A183,Piano!$A$10:$A$18,1)+1)-INDEX(Piano!$B$10:$B$18,MATCH($A183,Piano!$A$10:$A$18,1))))))</f>
        <v/>
      </c>
      <c r="K183" s="7">
        <f>IF($J183="","",$C183-$J183)</f>
        <v/>
      </c>
    </row>
    <row r="184">
      <c r="A184" s="14" t="n"/>
      <c r="B184" s="15" t="n"/>
      <c r="C184" s="15" t="n"/>
      <c r="D184" s="15" t="n">
        <v>0</v>
      </c>
      <c r="E184" s="15" t="n">
        <v>0</v>
      </c>
      <c r="F184" s="16" t="n"/>
      <c r="G184" s="7">
        <f>IF(NOT(ISNUMBER($A184)),"",$B184+$C184)</f>
        <v/>
      </c>
      <c r="H184" s="7">
        <f>IF(OR(NOT(ISNUMBER($A184)),NOT(ISNUMBER($A183))),"",$G183+$D184-$G184-$E184)</f>
        <v/>
      </c>
      <c r="I184" s="7">
        <f>IF($H184="","",$H184-Piano!$B$4)</f>
        <v/>
      </c>
      <c r="J184" s="7">
        <f>IF(NOT(ISNUMBER($A184)),"",IF($A184&lt;=INDEX(Piano!$A$10:$A$18,1),0,IF($A184&gt;=INDEX(Piano!$A$10:$A$18,9),INDEX(Piano!$B$10:$B$18,9),INDEX(Piano!$B$10:$B$18,MATCH($A184,Piano!$A$10:$A$18,1))+($A184-INDEX(Piano!$A$10:$A$18,MATCH($A184,Piano!$A$10:$A$18,1)))/(INDEX(Piano!$A$10:$A$18,MATCH($A184,Piano!$A$10:$A$18,1)+1)-INDEX(Piano!$A$10:$A$18,MATCH($A184,Piano!$A$10:$A$18,1)))*(INDEX(Piano!$B$10:$B$18,MATCH($A184,Piano!$A$10:$A$18,1)+1)-INDEX(Piano!$B$10:$B$18,MATCH($A184,Piano!$A$10:$A$18,1))))))</f>
        <v/>
      </c>
      <c r="K184" s="7">
        <f>IF($J184="","",$C184-$J184)</f>
        <v/>
      </c>
    </row>
    <row r="185">
      <c r="A185" s="14" t="n"/>
      <c r="B185" s="15" t="n"/>
      <c r="C185" s="15" t="n"/>
      <c r="D185" s="15" t="n">
        <v>0</v>
      </c>
      <c r="E185" s="15" t="n">
        <v>0</v>
      </c>
      <c r="F185" s="16" t="n"/>
      <c r="G185" s="7">
        <f>IF(NOT(ISNUMBER($A185)),"",$B185+$C185)</f>
        <v/>
      </c>
      <c r="H185" s="7">
        <f>IF(OR(NOT(ISNUMBER($A185)),NOT(ISNUMBER($A184))),"",$G184+$D185-$G185-$E185)</f>
        <v/>
      </c>
      <c r="I185" s="7">
        <f>IF($H185="","",$H185-Piano!$B$4)</f>
        <v/>
      </c>
      <c r="J185" s="7">
        <f>IF(NOT(ISNUMBER($A185)),"",IF($A185&lt;=INDEX(Piano!$A$10:$A$18,1),0,IF($A185&gt;=INDEX(Piano!$A$10:$A$18,9),INDEX(Piano!$B$10:$B$18,9),INDEX(Piano!$B$10:$B$18,MATCH($A185,Piano!$A$10:$A$18,1))+($A185-INDEX(Piano!$A$10:$A$18,MATCH($A185,Piano!$A$10:$A$18,1)))/(INDEX(Piano!$A$10:$A$18,MATCH($A185,Piano!$A$10:$A$18,1)+1)-INDEX(Piano!$A$10:$A$18,MATCH($A185,Piano!$A$10:$A$18,1)))*(INDEX(Piano!$B$10:$B$18,MATCH($A185,Piano!$A$10:$A$18,1)+1)-INDEX(Piano!$B$10:$B$18,MATCH($A185,Piano!$A$10:$A$18,1))))))</f>
        <v/>
      </c>
      <c r="K185" s="7">
        <f>IF($J185="","",$C185-$J185)</f>
        <v/>
      </c>
    </row>
    <row r="186">
      <c r="A186" s="14" t="n"/>
      <c r="B186" s="15" t="n"/>
      <c r="C186" s="15" t="n"/>
      <c r="D186" s="15" t="n">
        <v>0</v>
      </c>
      <c r="E186" s="15" t="n">
        <v>0</v>
      </c>
      <c r="F186" s="16" t="n"/>
      <c r="G186" s="7">
        <f>IF(NOT(ISNUMBER($A186)),"",$B186+$C186)</f>
        <v/>
      </c>
      <c r="H186" s="7">
        <f>IF(OR(NOT(ISNUMBER($A186)),NOT(ISNUMBER($A185))),"",$G185+$D186-$G186-$E186)</f>
        <v/>
      </c>
      <c r="I186" s="7">
        <f>IF($H186="","",$H186-Piano!$B$4)</f>
        <v/>
      </c>
      <c r="J186" s="7">
        <f>IF(NOT(ISNUMBER($A186)),"",IF($A186&lt;=INDEX(Piano!$A$10:$A$18,1),0,IF($A186&gt;=INDEX(Piano!$A$10:$A$18,9),INDEX(Piano!$B$10:$B$18,9),INDEX(Piano!$B$10:$B$18,MATCH($A186,Piano!$A$10:$A$18,1))+($A186-INDEX(Piano!$A$10:$A$18,MATCH($A186,Piano!$A$10:$A$18,1)))/(INDEX(Piano!$A$10:$A$18,MATCH($A186,Piano!$A$10:$A$18,1)+1)-INDEX(Piano!$A$10:$A$18,MATCH($A186,Piano!$A$10:$A$18,1)))*(INDEX(Piano!$B$10:$B$18,MATCH($A186,Piano!$A$10:$A$18,1)+1)-INDEX(Piano!$B$10:$B$18,MATCH($A186,Piano!$A$10:$A$18,1))))))</f>
        <v/>
      </c>
      <c r="K186" s="7">
        <f>IF($J186="","",$C186-$J186)</f>
        <v/>
      </c>
    </row>
    <row r="187">
      <c r="A187" s="14" t="n"/>
      <c r="B187" s="15" t="n"/>
      <c r="C187" s="15" t="n"/>
      <c r="D187" s="15" t="n">
        <v>0</v>
      </c>
      <c r="E187" s="15" t="n">
        <v>0</v>
      </c>
      <c r="F187" s="16" t="n"/>
      <c r="G187" s="7">
        <f>IF(NOT(ISNUMBER($A187)),"",$B187+$C187)</f>
        <v/>
      </c>
      <c r="H187" s="7">
        <f>IF(OR(NOT(ISNUMBER($A187)),NOT(ISNUMBER($A186))),"",$G186+$D187-$G187-$E187)</f>
        <v/>
      </c>
      <c r="I187" s="7">
        <f>IF($H187="","",$H187-Piano!$B$4)</f>
        <v/>
      </c>
      <c r="J187" s="7">
        <f>IF(NOT(ISNUMBER($A187)),"",IF($A187&lt;=INDEX(Piano!$A$10:$A$18,1),0,IF($A187&gt;=INDEX(Piano!$A$10:$A$18,9),INDEX(Piano!$B$10:$B$18,9),INDEX(Piano!$B$10:$B$18,MATCH($A187,Piano!$A$10:$A$18,1))+($A187-INDEX(Piano!$A$10:$A$18,MATCH($A187,Piano!$A$10:$A$18,1)))/(INDEX(Piano!$A$10:$A$18,MATCH($A187,Piano!$A$10:$A$18,1)+1)-INDEX(Piano!$A$10:$A$18,MATCH($A187,Piano!$A$10:$A$18,1)))*(INDEX(Piano!$B$10:$B$18,MATCH($A187,Piano!$A$10:$A$18,1)+1)-INDEX(Piano!$B$10:$B$18,MATCH($A187,Piano!$A$10:$A$18,1))))))</f>
        <v/>
      </c>
      <c r="K187" s="7">
        <f>IF($J187="","",$C187-$J187)</f>
        <v/>
      </c>
    </row>
    <row r="188">
      <c r="A188" s="14" t="n"/>
      <c r="B188" s="15" t="n"/>
      <c r="C188" s="15" t="n"/>
      <c r="D188" s="15" t="n">
        <v>0</v>
      </c>
      <c r="E188" s="15" t="n">
        <v>0</v>
      </c>
      <c r="F188" s="16" t="n"/>
      <c r="G188" s="7">
        <f>IF(NOT(ISNUMBER($A188)),"",$B188+$C188)</f>
        <v/>
      </c>
      <c r="H188" s="7">
        <f>IF(OR(NOT(ISNUMBER($A188)),NOT(ISNUMBER($A187))),"",$G187+$D188-$G188-$E188)</f>
        <v/>
      </c>
      <c r="I188" s="7">
        <f>IF($H188="","",$H188-Piano!$B$4)</f>
        <v/>
      </c>
      <c r="J188" s="7">
        <f>IF(NOT(ISNUMBER($A188)),"",IF($A188&lt;=INDEX(Piano!$A$10:$A$18,1),0,IF($A188&gt;=INDEX(Piano!$A$10:$A$18,9),INDEX(Piano!$B$10:$B$18,9),INDEX(Piano!$B$10:$B$18,MATCH($A188,Piano!$A$10:$A$18,1))+($A188-INDEX(Piano!$A$10:$A$18,MATCH($A188,Piano!$A$10:$A$18,1)))/(INDEX(Piano!$A$10:$A$18,MATCH($A188,Piano!$A$10:$A$18,1)+1)-INDEX(Piano!$A$10:$A$18,MATCH($A188,Piano!$A$10:$A$18,1)))*(INDEX(Piano!$B$10:$B$18,MATCH($A188,Piano!$A$10:$A$18,1)+1)-INDEX(Piano!$B$10:$B$18,MATCH($A188,Piano!$A$10:$A$18,1))))))</f>
        <v/>
      </c>
      <c r="K188" s="7">
        <f>IF($J188="","",$C188-$J188)</f>
        <v/>
      </c>
    </row>
    <row r="189">
      <c r="A189" s="14" t="n"/>
      <c r="B189" s="15" t="n"/>
      <c r="C189" s="15" t="n"/>
      <c r="D189" s="15" t="n">
        <v>0</v>
      </c>
      <c r="E189" s="15" t="n">
        <v>0</v>
      </c>
      <c r="F189" s="16" t="n"/>
      <c r="G189" s="7">
        <f>IF(NOT(ISNUMBER($A189)),"",$B189+$C189)</f>
        <v/>
      </c>
      <c r="H189" s="7">
        <f>IF(OR(NOT(ISNUMBER($A189)),NOT(ISNUMBER($A188))),"",$G188+$D189-$G189-$E189)</f>
        <v/>
      </c>
      <c r="I189" s="7">
        <f>IF($H189="","",$H189-Piano!$B$4)</f>
        <v/>
      </c>
      <c r="J189" s="7">
        <f>IF(NOT(ISNUMBER($A189)),"",IF($A189&lt;=INDEX(Piano!$A$10:$A$18,1),0,IF($A189&gt;=INDEX(Piano!$A$10:$A$18,9),INDEX(Piano!$B$10:$B$18,9),INDEX(Piano!$B$10:$B$18,MATCH($A189,Piano!$A$10:$A$18,1))+($A189-INDEX(Piano!$A$10:$A$18,MATCH($A189,Piano!$A$10:$A$18,1)))/(INDEX(Piano!$A$10:$A$18,MATCH($A189,Piano!$A$10:$A$18,1)+1)-INDEX(Piano!$A$10:$A$18,MATCH($A189,Piano!$A$10:$A$18,1)))*(INDEX(Piano!$B$10:$B$18,MATCH($A189,Piano!$A$10:$A$18,1)+1)-INDEX(Piano!$B$10:$B$18,MATCH($A189,Piano!$A$10:$A$18,1))))))</f>
        <v/>
      </c>
      <c r="K189" s="7">
        <f>IF($J189="","",$C189-$J189)</f>
        <v/>
      </c>
    </row>
    <row r="190">
      <c r="A190" s="14" t="n"/>
      <c r="B190" s="15" t="n"/>
      <c r="C190" s="15" t="n"/>
      <c r="D190" s="15" t="n">
        <v>0</v>
      </c>
      <c r="E190" s="15" t="n">
        <v>0</v>
      </c>
      <c r="F190" s="16" t="n"/>
      <c r="G190" s="7">
        <f>IF(NOT(ISNUMBER($A190)),"",$B190+$C190)</f>
        <v/>
      </c>
      <c r="H190" s="7">
        <f>IF(OR(NOT(ISNUMBER($A190)),NOT(ISNUMBER($A189))),"",$G189+$D190-$G190-$E190)</f>
        <v/>
      </c>
      <c r="I190" s="7">
        <f>IF($H190="","",$H190-Piano!$B$4)</f>
        <v/>
      </c>
      <c r="J190" s="7">
        <f>IF(NOT(ISNUMBER($A190)),"",IF($A190&lt;=INDEX(Piano!$A$10:$A$18,1),0,IF($A190&gt;=INDEX(Piano!$A$10:$A$18,9),INDEX(Piano!$B$10:$B$18,9),INDEX(Piano!$B$10:$B$18,MATCH($A190,Piano!$A$10:$A$18,1))+($A190-INDEX(Piano!$A$10:$A$18,MATCH($A190,Piano!$A$10:$A$18,1)))/(INDEX(Piano!$A$10:$A$18,MATCH($A190,Piano!$A$10:$A$18,1)+1)-INDEX(Piano!$A$10:$A$18,MATCH($A190,Piano!$A$10:$A$18,1)))*(INDEX(Piano!$B$10:$B$18,MATCH($A190,Piano!$A$10:$A$18,1)+1)-INDEX(Piano!$B$10:$B$18,MATCH($A190,Piano!$A$10:$A$18,1))))))</f>
        <v/>
      </c>
      <c r="K190" s="7">
        <f>IF($J190="","",$C190-$J190)</f>
        <v/>
      </c>
    </row>
    <row r="191">
      <c r="A191" s="14" t="n"/>
      <c r="B191" s="15" t="n"/>
      <c r="C191" s="15" t="n"/>
      <c r="D191" s="15" t="n">
        <v>0</v>
      </c>
      <c r="E191" s="15" t="n">
        <v>0</v>
      </c>
      <c r="F191" s="16" t="n"/>
      <c r="G191" s="7">
        <f>IF(NOT(ISNUMBER($A191)),"",$B191+$C191)</f>
        <v/>
      </c>
      <c r="H191" s="7">
        <f>IF(OR(NOT(ISNUMBER($A191)),NOT(ISNUMBER($A190))),"",$G190+$D191-$G191-$E191)</f>
        <v/>
      </c>
      <c r="I191" s="7">
        <f>IF($H191="","",$H191-Piano!$B$4)</f>
        <v/>
      </c>
      <c r="J191" s="7">
        <f>IF(NOT(ISNUMBER($A191)),"",IF($A191&lt;=INDEX(Piano!$A$10:$A$18,1),0,IF($A191&gt;=INDEX(Piano!$A$10:$A$18,9),INDEX(Piano!$B$10:$B$18,9),INDEX(Piano!$B$10:$B$18,MATCH($A191,Piano!$A$10:$A$18,1))+($A191-INDEX(Piano!$A$10:$A$18,MATCH($A191,Piano!$A$10:$A$18,1)))/(INDEX(Piano!$A$10:$A$18,MATCH($A191,Piano!$A$10:$A$18,1)+1)-INDEX(Piano!$A$10:$A$18,MATCH($A191,Piano!$A$10:$A$18,1)))*(INDEX(Piano!$B$10:$B$18,MATCH($A191,Piano!$A$10:$A$18,1)+1)-INDEX(Piano!$B$10:$B$18,MATCH($A191,Piano!$A$10:$A$18,1))))))</f>
        <v/>
      </c>
      <c r="K191" s="7">
        <f>IF($J191="","",$C191-$J191)</f>
        <v/>
      </c>
    </row>
    <row r="192">
      <c r="A192" s="14" t="n"/>
      <c r="B192" s="15" t="n"/>
      <c r="C192" s="15" t="n"/>
      <c r="D192" s="15" t="n">
        <v>0</v>
      </c>
      <c r="E192" s="15" t="n">
        <v>0</v>
      </c>
      <c r="F192" s="16" t="n"/>
      <c r="G192" s="7">
        <f>IF(NOT(ISNUMBER($A192)),"",$B192+$C192)</f>
        <v/>
      </c>
      <c r="H192" s="7">
        <f>IF(OR(NOT(ISNUMBER($A192)),NOT(ISNUMBER($A191))),"",$G191+$D192-$G192-$E192)</f>
        <v/>
      </c>
      <c r="I192" s="7">
        <f>IF($H192="","",$H192-Piano!$B$4)</f>
        <v/>
      </c>
      <c r="J192" s="7">
        <f>IF(NOT(ISNUMBER($A192)),"",IF($A192&lt;=INDEX(Piano!$A$10:$A$18,1),0,IF($A192&gt;=INDEX(Piano!$A$10:$A$18,9),INDEX(Piano!$B$10:$B$18,9),INDEX(Piano!$B$10:$B$18,MATCH($A192,Piano!$A$10:$A$18,1))+($A192-INDEX(Piano!$A$10:$A$18,MATCH($A192,Piano!$A$10:$A$18,1)))/(INDEX(Piano!$A$10:$A$18,MATCH($A192,Piano!$A$10:$A$18,1)+1)-INDEX(Piano!$A$10:$A$18,MATCH($A192,Piano!$A$10:$A$18,1)))*(INDEX(Piano!$B$10:$B$18,MATCH($A192,Piano!$A$10:$A$18,1)+1)-INDEX(Piano!$B$10:$B$18,MATCH($A192,Piano!$A$10:$A$18,1))))))</f>
        <v/>
      </c>
      <c r="K192" s="7">
        <f>IF($J192="","",$C192-$J192)</f>
        <v/>
      </c>
    </row>
    <row r="193">
      <c r="A193" s="14" t="n"/>
      <c r="B193" s="15" t="n"/>
      <c r="C193" s="15" t="n"/>
      <c r="D193" s="15" t="n">
        <v>0</v>
      </c>
      <c r="E193" s="15" t="n">
        <v>0</v>
      </c>
      <c r="F193" s="16" t="n"/>
      <c r="G193" s="7">
        <f>IF(NOT(ISNUMBER($A193)),"",$B193+$C193)</f>
        <v/>
      </c>
      <c r="H193" s="7">
        <f>IF(OR(NOT(ISNUMBER($A193)),NOT(ISNUMBER($A192))),"",$G192+$D193-$G193-$E193)</f>
        <v/>
      </c>
      <c r="I193" s="7">
        <f>IF($H193="","",$H193-Piano!$B$4)</f>
        <v/>
      </c>
      <c r="J193" s="7">
        <f>IF(NOT(ISNUMBER($A193)),"",IF($A193&lt;=INDEX(Piano!$A$10:$A$18,1),0,IF($A193&gt;=INDEX(Piano!$A$10:$A$18,9),INDEX(Piano!$B$10:$B$18,9),INDEX(Piano!$B$10:$B$18,MATCH($A193,Piano!$A$10:$A$18,1))+($A193-INDEX(Piano!$A$10:$A$18,MATCH($A193,Piano!$A$10:$A$18,1)))/(INDEX(Piano!$A$10:$A$18,MATCH($A193,Piano!$A$10:$A$18,1)+1)-INDEX(Piano!$A$10:$A$18,MATCH($A193,Piano!$A$10:$A$18,1)))*(INDEX(Piano!$B$10:$B$18,MATCH($A193,Piano!$A$10:$A$18,1)+1)-INDEX(Piano!$B$10:$B$18,MATCH($A193,Piano!$A$10:$A$18,1))))))</f>
        <v/>
      </c>
      <c r="K193" s="7">
        <f>IF($J193="","",$C193-$J193)</f>
        <v/>
      </c>
    </row>
    <row r="194">
      <c r="A194" s="14" t="n"/>
      <c r="B194" s="15" t="n"/>
      <c r="C194" s="15" t="n"/>
      <c r="D194" s="15" t="n">
        <v>0</v>
      </c>
      <c r="E194" s="15" t="n">
        <v>0</v>
      </c>
      <c r="F194" s="16" t="n"/>
      <c r="G194" s="7">
        <f>IF(NOT(ISNUMBER($A194)),"",$B194+$C194)</f>
        <v/>
      </c>
      <c r="H194" s="7">
        <f>IF(OR(NOT(ISNUMBER($A194)),NOT(ISNUMBER($A193))),"",$G193+$D194-$G194-$E194)</f>
        <v/>
      </c>
      <c r="I194" s="7">
        <f>IF($H194="","",$H194-Piano!$B$4)</f>
        <v/>
      </c>
      <c r="J194" s="7">
        <f>IF(NOT(ISNUMBER($A194)),"",IF($A194&lt;=INDEX(Piano!$A$10:$A$18,1),0,IF($A194&gt;=INDEX(Piano!$A$10:$A$18,9),INDEX(Piano!$B$10:$B$18,9),INDEX(Piano!$B$10:$B$18,MATCH($A194,Piano!$A$10:$A$18,1))+($A194-INDEX(Piano!$A$10:$A$18,MATCH($A194,Piano!$A$10:$A$18,1)))/(INDEX(Piano!$A$10:$A$18,MATCH($A194,Piano!$A$10:$A$18,1)+1)-INDEX(Piano!$A$10:$A$18,MATCH($A194,Piano!$A$10:$A$18,1)))*(INDEX(Piano!$B$10:$B$18,MATCH($A194,Piano!$A$10:$A$18,1)+1)-INDEX(Piano!$B$10:$B$18,MATCH($A194,Piano!$A$10:$A$18,1))))))</f>
        <v/>
      </c>
      <c r="K194" s="7">
        <f>IF($J194="","",$C194-$J194)</f>
        <v/>
      </c>
    </row>
    <row r="195">
      <c r="A195" s="14" t="n"/>
      <c r="B195" s="15" t="n"/>
      <c r="C195" s="15" t="n"/>
      <c r="D195" s="15" t="n">
        <v>0</v>
      </c>
      <c r="E195" s="15" t="n">
        <v>0</v>
      </c>
      <c r="F195" s="16" t="n"/>
      <c r="G195" s="7">
        <f>IF(NOT(ISNUMBER($A195)),"",$B195+$C195)</f>
        <v/>
      </c>
      <c r="H195" s="7">
        <f>IF(OR(NOT(ISNUMBER($A195)),NOT(ISNUMBER($A194))),"",$G194+$D195-$G195-$E195)</f>
        <v/>
      </c>
      <c r="I195" s="7">
        <f>IF($H195="","",$H195-Piano!$B$4)</f>
        <v/>
      </c>
      <c r="J195" s="7">
        <f>IF(NOT(ISNUMBER($A195)),"",IF($A195&lt;=INDEX(Piano!$A$10:$A$18,1),0,IF($A195&gt;=INDEX(Piano!$A$10:$A$18,9),INDEX(Piano!$B$10:$B$18,9),INDEX(Piano!$B$10:$B$18,MATCH($A195,Piano!$A$10:$A$18,1))+($A195-INDEX(Piano!$A$10:$A$18,MATCH($A195,Piano!$A$10:$A$18,1)))/(INDEX(Piano!$A$10:$A$18,MATCH($A195,Piano!$A$10:$A$18,1)+1)-INDEX(Piano!$A$10:$A$18,MATCH($A195,Piano!$A$10:$A$18,1)))*(INDEX(Piano!$B$10:$B$18,MATCH($A195,Piano!$A$10:$A$18,1)+1)-INDEX(Piano!$B$10:$B$18,MATCH($A195,Piano!$A$10:$A$18,1))))))</f>
        <v/>
      </c>
      <c r="K195" s="7">
        <f>IF($J195="","",$C195-$J195)</f>
        <v/>
      </c>
    </row>
    <row r="196">
      <c r="A196" s="14" t="n"/>
      <c r="B196" s="15" t="n"/>
      <c r="C196" s="15" t="n"/>
      <c r="D196" s="15" t="n">
        <v>0</v>
      </c>
      <c r="E196" s="15" t="n">
        <v>0</v>
      </c>
      <c r="F196" s="16" t="n"/>
      <c r="G196" s="7">
        <f>IF(NOT(ISNUMBER($A196)),"",$B196+$C196)</f>
        <v/>
      </c>
      <c r="H196" s="7">
        <f>IF(OR(NOT(ISNUMBER($A196)),NOT(ISNUMBER($A195))),"",$G195+$D196-$G196-$E196)</f>
        <v/>
      </c>
      <c r="I196" s="7">
        <f>IF($H196="","",$H196-Piano!$B$4)</f>
        <v/>
      </c>
      <c r="J196" s="7">
        <f>IF(NOT(ISNUMBER($A196)),"",IF($A196&lt;=INDEX(Piano!$A$10:$A$18,1),0,IF($A196&gt;=INDEX(Piano!$A$10:$A$18,9),INDEX(Piano!$B$10:$B$18,9),INDEX(Piano!$B$10:$B$18,MATCH($A196,Piano!$A$10:$A$18,1))+($A196-INDEX(Piano!$A$10:$A$18,MATCH($A196,Piano!$A$10:$A$18,1)))/(INDEX(Piano!$A$10:$A$18,MATCH($A196,Piano!$A$10:$A$18,1)+1)-INDEX(Piano!$A$10:$A$18,MATCH($A196,Piano!$A$10:$A$18,1)))*(INDEX(Piano!$B$10:$B$18,MATCH($A196,Piano!$A$10:$A$18,1)+1)-INDEX(Piano!$B$10:$B$18,MATCH($A196,Piano!$A$10:$A$18,1))))))</f>
        <v/>
      </c>
      <c r="K196" s="7">
        <f>IF($J196="","",$C196-$J196)</f>
        <v/>
      </c>
    </row>
    <row r="197">
      <c r="A197" s="14" t="n"/>
      <c r="B197" s="15" t="n"/>
      <c r="C197" s="15" t="n"/>
      <c r="D197" s="15" t="n">
        <v>0</v>
      </c>
      <c r="E197" s="15" t="n">
        <v>0</v>
      </c>
      <c r="F197" s="16" t="n"/>
      <c r="G197" s="7">
        <f>IF(NOT(ISNUMBER($A197)),"",$B197+$C197)</f>
        <v/>
      </c>
      <c r="H197" s="7">
        <f>IF(OR(NOT(ISNUMBER($A197)),NOT(ISNUMBER($A196))),"",$G196+$D197-$G197-$E197)</f>
        <v/>
      </c>
      <c r="I197" s="7">
        <f>IF($H197="","",$H197-Piano!$B$4)</f>
        <v/>
      </c>
      <c r="J197" s="7">
        <f>IF(NOT(ISNUMBER($A197)),"",IF($A197&lt;=INDEX(Piano!$A$10:$A$18,1),0,IF($A197&gt;=INDEX(Piano!$A$10:$A$18,9),INDEX(Piano!$B$10:$B$18,9),INDEX(Piano!$B$10:$B$18,MATCH($A197,Piano!$A$10:$A$18,1))+($A197-INDEX(Piano!$A$10:$A$18,MATCH($A197,Piano!$A$10:$A$18,1)))/(INDEX(Piano!$A$10:$A$18,MATCH($A197,Piano!$A$10:$A$18,1)+1)-INDEX(Piano!$A$10:$A$18,MATCH($A197,Piano!$A$10:$A$18,1)))*(INDEX(Piano!$B$10:$B$18,MATCH($A197,Piano!$A$10:$A$18,1)+1)-INDEX(Piano!$B$10:$B$18,MATCH($A197,Piano!$A$10:$A$18,1))))))</f>
        <v/>
      </c>
      <c r="K197" s="7">
        <f>IF($J197="","",$C197-$J197)</f>
        <v/>
      </c>
    </row>
    <row r="198">
      <c r="A198" s="14" t="n"/>
      <c r="B198" s="15" t="n"/>
      <c r="C198" s="15" t="n"/>
      <c r="D198" s="15" t="n">
        <v>0</v>
      </c>
      <c r="E198" s="15" t="n">
        <v>0</v>
      </c>
      <c r="F198" s="16" t="n"/>
      <c r="G198" s="7">
        <f>IF(NOT(ISNUMBER($A198)),"",$B198+$C198)</f>
        <v/>
      </c>
      <c r="H198" s="7">
        <f>IF(OR(NOT(ISNUMBER($A198)),NOT(ISNUMBER($A197))),"",$G197+$D198-$G198-$E198)</f>
        <v/>
      </c>
      <c r="I198" s="7">
        <f>IF($H198="","",$H198-Piano!$B$4)</f>
        <v/>
      </c>
      <c r="J198" s="7">
        <f>IF(NOT(ISNUMBER($A198)),"",IF($A198&lt;=INDEX(Piano!$A$10:$A$18,1),0,IF($A198&gt;=INDEX(Piano!$A$10:$A$18,9),INDEX(Piano!$B$10:$B$18,9),INDEX(Piano!$B$10:$B$18,MATCH($A198,Piano!$A$10:$A$18,1))+($A198-INDEX(Piano!$A$10:$A$18,MATCH($A198,Piano!$A$10:$A$18,1)))/(INDEX(Piano!$A$10:$A$18,MATCH($A198,Piano!$A$10:$A$18,1)+1)-INDEX(Piano!$A$10:$A$18,MATCH($A198,Piano!$A$10:$A$18,1)))*(INDEX(Piano!$B$10:$B$18,MATCH($A198,Piano!$A$10:$A$18,1)+1)-INDEX(Piano!$B$10:$B$18,MATCH($A198,Piano!$A$10:$A$18,1))))))</f>
        <v/>
      </c>
      <c r="K198" s="7">
        <f>IF($J198="","",$C198-$J198)</f>
        <v/>
      </c>
    </row>
    <row r="199">
      <c r="A199" s="14" t="n"/>
      <c r="B199" s="15" t="n"/>
      <c r="C199" s="15" t="n"/>
      <c r="D199" s="15" t="n">
        <v>0</v>
      </c>
      <c r="E199" s="15" t="n">
        <v>0</v>
      </c>
      <c r="F199" s="16" t="n"/>
      <c r="G199" s="7">
        <f>IF(NOT(ISNUMBER($A199)),"",$B199+$C199)</f>
        <v/>
      </c>
      <c r="H199" s="7">
        <f>IF(OR(NOT(ISNUMBER($A199)),NOT(ISNUMBER($A198))),"",$G198+$D199-$G199-$E199)</f>
        <v/>
      </c>
      <c r="I199" s="7">
        <f>IF($H199="","",$H199-Piano!$B$4)</f>
        <v/>
      </c>
      <c r="J199" s="7">
        <f>IF(NOT(ISNUMBER($A199)),"",IF($A199&lt;=INDEX(Piano!$A$10:$A$18,1),0,IF($A199&gt;=INDEX(Piano!$A$10:$A$18,9),INDEX(Piano!$B$10:$B$18,9),INDEX(Piano!$B$10:$B$18,MATCH($A199,Piano!$A$10:$A$18,1))+($A199-INDEX(Piano!$A$10:$A$18,MATCH($A199,Piano!$A$10:$A$18,1)))/(INDEX(Piano!$A$10:$A$18,MATCH($A199,Piano!$A$10:$A$18,1)+1)-INDEX(Piano!$A$10:$A$18,MATCH($A199,Piano!$A$10:$A$18,1)))*(INDEX(Piano!$B$10:$B$18,MATCH($A199,Piano!$A$10:$A$18,1)+1)-INDEX(Piano!$B$10:$B$18,MATCH($A199,Piano!$A$10:$A$18,1))))))</f>
        <v/>
      </c>
      <c r="K199" s="7">
        <f>IF($J199="","",$C199-$J199)</f>
        <v/>
      </c>
    </row>
    <row r="200">
      <c r="A200" s="14" t="n"/>
      <c r="B200" s="15" t="n"/>
      <c r="C200" s="15" t="n"/>
      <c r="D200" s="15" t="n">
        <v>0</v>
      </c>
      <c r="E200" s="15" t="n">
        <v>0</v>
      </c>
      <c r="F200" s="16" t="n"/>
      <c r="G200" s="7">
        <f>IF(NOT(ISNUMBER($A200)),"",$B200+$C200)</f>
        <v/>
      </c>
      <c r="H200" s="7">
        <f>IF(OR(NOT(ISNUMBER($A200)),NOT(ISNUMBER($A199))),"",$G199+$D200-$G200-$E200)</f>
        <v/>
      </c>
      <c r="I200" s="7">
        <f>IF($H200="","",$H200-Piano!$B$4)</f>
        <v/>
      </c>
      <c r="J200" s="7">
        <f>IF(NOT(ISNUMBER($A200)),"",IF($A200&lt;=INDEX(Piano!$A$10:$A$18,1),0,IF($A200&gt;=INDEX(Piano!$A$10:$A$18,9),INDEX(Piano!$B$10:$B$18,9),INDEX(Piano!$B$10:$B$18,MATCH($A200,Piano!$A$10:$A$18,1))+($A200-INDEX(Piano!$A$10:$A$18,MATCH($A200,Piano!$A$10:$A$18,1)))/(INDEX(Piano!$A$10:$A$18,MATCH($A200,Piano!$A$10:$A$18,1)+1)-INDEX(Piano!$A$10:$A$18,MATCH($A200,Piano!$A$10:$A$18,1)))*(INDEX(Piano!$B$10:$B$18,MATCH($A200,Piano!$A$10:$A$18,1)+1)-INDEX(Piano!$B$10:$B$18,MATCH($A200,Piano!$A$10:$A$18,1))))))</f>
        <v/>
      </c>
      <c r="K200" s="7">
        <f>IF($J200="","",$C200-$J200)</f>
        <v/>
      </c>
    </row>
    <row r="201">
      <c r="A201" s="14" t="n"/>
      <c r="B201" s="15" t="n"/>
      <c r="C201" s="15" t="n"/>
      <c r="D201" s="15" t="n">
        <v>0</v>
      </c>
      <c r="E201" s="15" t="n">
        <v>0</v>
      </c>
      <c r="F201" s="16" t="n"/>
      <c r="G201" s="7">
        <f>IF(NOT(ISNUMBER($A201)),"",$B201+$C201)</f>
        <v/>
      </c>
      <c r="H201" s="7">
        <f>IF(OR(NOT(ISNUMBER($A201)),NOT(ISNUMBER($A200))),"",$G200+$D201-$G201-$E201)</f>
        <v/>
      </c>
      <c r="I201" s="7">
        <f>IF($H201="","",$H201-Piano!$B$4)</f>
        <v/>
      </c>
      <c r="J201" s="7">
        <f>IF(NOT(ISNUMBER($A201)),"",IF($A201&lt;=INDEX(Piano!$A$10:$A$18,1),0,IF($A201&gt;=INDEX(Piano!$A$10:$A$18,9),INDEX(Piano!$B$10:$B$18,9),INDEX(Piano!$B$10:$B$18,MATCH($A201,Piano!$A$10:$A$18,1))+($A201-INDEX(Piano!$A$10:$A$18,MATCH($A201,Piano!$A$10:$A$18,1)))/(INDEX(Piano!$A$10:$A$18,MATCH($A201,Piano!$A$10:$A$18,1)+1)-INDEX(Piano!$A$10:$A$18,MATCH($A201,Piano!$A$10:$A$18,1)))*(INDEX(Piano!$B$10:$B$18,MATCH($A201,Piano!$A$10:$A$18,1)+1)-INDEX(Piano!$B$10:$B$18,MATCH($A201,Piano!$A$10:$A$18,1))))))</f>
        <v/>
      </c>
      <c r="K201" s="7">
        <f>IF($J201="","",$C201-$J201)</f>
        <v/>
      </c>
    </row>
    <row r="202">
      <c r="A202" s="14" t="n"/>
      <c r="B202" s="15" t="n"/>
      <c r="C202" s="15" t="n"/>
      <c r="D202" s="15" t="n">
        <v>0</v>
      </c>
      <c r="E202" s="15" t="n">
        <v>0</v>
      </c>
      <c r="F202" s="16" t="n"/>
      <c r="G202" s="7">
        <f>IF(NOT(ISNUMBER($A202)),"",$B202+$C202)</f>
        <v/>
      </c>
      <c r="H202" s="7">
        <f>IF(OR(NOT(ISNUMBER($A202)),NOT(ISNUMBER($A201))),"",$G201+$D202-$G202-$E202)</f>
        <v/>
      </c>
      <c r="I202" s="7">
        <f>IF($H202="","",$H202-Piano!$B$4)</f>
        <v/>
      </c>
      <c r="J202" s="7">
        <f>IF(NOT(ISNUMBER($A202)),"",IF($A202&lt;=INDEX(Piano!$A$10:$A$18,1),0,IF($A202&gt;=INDEX(Piano!$A$10:$A$18,9),INDEX(Piano!$B$10:$B$18,9),INDEX(Piano!$B$10:$B$18,MATCH($A202,Piano!$A$10:$A$18,1))+($A202-INDEX(Piano!$A$10:$A$18,MATCH($A202,Piano!$A$10:$A$18,1)))/(INDEX(Piano!$A$10:$A$18,MATCH($A202,Piano!$A$10:$A$18,1)+1)-INDEX(Piano!$A$10:$A$18,MATCH($A202,Piano!$A$10:$A$18,1)))*(INDEX(Piano!$B$10:$B$18,MATCH($A202,Piano!$A$10:$A$18,1)+1)-INDEX(Piano!$B$10:$B$18,MATCH($A202,Piano!$A$10:$A$18,1))))))</f>
        <v/>
      </c>
      <c r="K202" s="7">
        <f>IF($J202="","",$C202-$J202)</f>
        <v/>
      </c>
    </row>
    <row r="203">
      <c r="A203" s="14" t="n"/>
      <c r="B203" s="15" t="n"/>
      <c r="C203" s="15" t="n"/>
      <c r="D203" s="15" t="n">
        <v>0</v>
      </c>
      <c r="E203" s="15" t="n">
        <v>0</v>
      </c>
      <c r="F203" s="16" t="n"/>
      <c r="G203" s="7">
        <f>IF(NOT(ISNUMBER($A203)),"",$B203+$C203)</f>
        <v/>
      </c>
      <c r="H203" s="7">
        <f>IF(OR(NOT(ISNUMBER($A203)),NOT(ISNUMBER($A202))),"",$G202+$D203-$G203-$E203)</f>
        <v/>
      </c>
      <c r="I203" s="7">
        <f>IF($H203="","",$H203-Piano!$B$4)</f>
        <v/>
      </c>
      <c r="J203" s="7">
        <f>IF(NOT(ISNUMBER($A203)),"",IF($A203&lt;=INDEX(Piano!$A$10:$A$18,1),0,IF($A203&gt;=INDEX(Piano!$A$10:$A$18,9),INDEX(Piano!$B$10:$B$18,9),INDEX(Piano!$B$10:$B$18,MATCH($A203,Piano!$A$10:$A$18,1))+($A203-INDEX(Piano!$A$10:$A$18,MATCH($A203,Piano!$A$10:$A$18,1)))/(INDEX(Piano!$A$10:$A$18,MATCH($A203,Piano!$A$10:$A$18,1)+1)-INDEX(Piano!$A$10:$A$18,MATCH($A203,Piano!$A$10:$A$18,1)))*(INDEX(Piano!$B$10:$B$18,MATCH($A203,Piano!$A$10:$A$18,1)+1)-INDEX(Piano!$B$10:$B$18,MATCH($A203,Piano!$A$10:$A$18,1))))))</f>
        <v/>
      </c>
      <c r="K203" s="7">
        <f>IF($J203="","",$C203-$J203)</f>
        <v/>
      </c>
    </row>
  </sheetData>
  <mergeCells count="1">
    <mergeCell ref="A2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</cols>
  <sheetData>
    <row r="1">
      <c r="A1" s="1" t="inlineStr">
        <is>
          <t>Spese annuali — quello che esce dal buffer</t>
        </is>
      </c>
    </row>
    <row r="2">
      <c r="A2" s="2" t="inlineStr">
        <is>
          <t>Il buffer si riempie da solo di 150 € al mese. Qui registri solo le uscite: assicurazione, freni, bollo, gomme, revisione, tagliando.</t>
        </is>
      </c>
    </row>
    <row r="3">
      <c r="A3" s="17" t="inlineStr">
        <is>
          <t>Data</t>
        </is>
      </c>
      <c r="B3" s="17" t="inlineStr">
        <is>
          <t>Voce</t>
        </is>
      </c>
      <c r="C3" s="17" t="inlineStr">
        <is>
          <t>Importo (€)</t>
        </is>
      </c>
    </row>
    <row r="4">
      <c r="A4" s="11" t="n">
        <v>46310</v>
      </c>
      <c r="B4" s="13" t="inlineStr">
        <is>
          <t>ESEMPIO — assicurazione auto (cancella questa riga)</t>
        </is>
      </c>
      <c r="C4" s="12" t="n">
        <v>550</v>
      </c>
    </row>
    <row r="5">
      <c r="A5" s="14" t="n"/>
      <c r="B5" s="16" t="n"/>
      <c r="C5" s="15" t="n"/>
    </row>
    <row r="6">
      <c r="A6" s="14" t="n"/>
      <c r="B6" s="16" t="n"/>
      <c r="C6" s="15" t="n"/>
    </row>
    <row r="7">
      <c r="A7" s="14" t="n"/>
      <c r="B7" s="16" t="n"/>
      <c r="C7" s="15" t="n"/>
    </row>
    <row r="8">
      <c r="A8" s="14" t="n"/>
      <c r="B8" s="16" t="n"/>
      <c r="C8" s="15" t="n"/>
    </row>
    <row r="9">
      <c r="A9" s="14" t="n"/>
      <c r="B9" s="16" t="n"/>
      <c r="C9" s="15" t="n"/>
    </row>
    <row r="10">
      <c r="A10" s="14" t="n"/>
      <c r="B10" s="16" t="n"/>
      <c r="C10" s="15" t="n"/>
    </row>
    <row r="11">
      <c r="A11" s="14" t="n"/>
      <c r="B11" s="16" t="n"/>
      <c r="C11" s="15" t="n"/>
    </row>
    <row r="12">
      <c r="A12" s="14" t="n"/>
      <c r="B12" s="16" t="n"/>
      <c r="C12" s="15" t="n"/>
    </row>
    <row r="13">
      <c r="A13" s="14" t="n"/>
      <c r="B13" s="16" t="n"/>
      <c r="C13" s="15" t="n"/>
    </row>
    <row r="14">
      <c r="A14" s="14" t="n"/>
      <c r="B14" s="16" t="n"/>
      <c r="C14" s="15" t="n"/>
    </row>
    <row r="15">
      <c r="A15" s="14" t="n"/>
      <c r="B15" s="16" t="n"/>
      <c r="C15" s="15" t="n"/>
    </row>
    <row r="16">
      <c r="A16" s="14" t="n"/>
      <c r="B16" s="16" t="n"/>
      <c r="C16" s="15" t="n"/>
    </row>
    <row r="17">
      <c r="A17" s="14" t="n"/>
      <c r="B17" s="16" t="n"/>
      <c r="C17" s="15" t="n"/>
    </row>
    <row r="18">
      <c r="A18" s="14" t="n"/>
      <c r="B18" s="16" t="n"/>
      <c r="C18" s="15" t="n"/>
    </row>
    <row r="19">
      <c r="A19" s="14" t="n"/>
      <c r="B19" s="16" t="n"/>
      <c r="C19" s="15" t="n"/>
    </row>
    <row r="20">
      <c r="A20" s="14" t="n"/>
      <c r="B20" s="16" t="n"/>
      <c r="C20" s="15" t="n"/>
    </row>
    <row r="21">
      <c r="A21" s="14" t="n"/>
      <c r="B21" s="16" t="n"/>
      <c r="C21" s="15" t="n"/>
    </row>
    <row r="22">
      <c r="A22" s="14" t="n"/>
      <c r="B22" s="16" t="n"/>
      <c r="C22" s="15" t="n"/>
    </row>
    <row r="23">
      <c r="A23" s="14" t="n"/>
      <c r="B23" s="16" t="n"/>
      <c r="C23" s="15" t="n"/>
    </row>
    <row r="24">
      <c r="A24" s="14" t="n"/>
      <c r="B24" s="16" t="n"/>
      <c r="C24" s="15" t="n"/>
    </row>
    <row r="25">
      <c r="A25" s="14" t="n"/>
      <c r="B25" s="16" t="n"/>
      <c r="C25" s="15" t="n"/>
    </row>
    <row r="26">
      <c r="A26" s="14" t="n"/>
      <c r="B26" s="16" t="n"/>
      <c r="C26" s="15" t="n"/>
    </row>
    <row r="27">
      <c r="A27" s="14" t="n"/>
      <c r="B27" s="16" t="n"/>
      <c r="C27" s="15" t="n"/>
    </row>
    <row r="28">
      <c r="A28" s="14" t="n"/>
      <c r="B28" s="16" t="n"/>
      <c r="C28" s="15" t="n"/>
    </row>
    <row r="29">
      <c r="A29" s="14" t="n"/>
      <c r="B29" s="16" t="n"/>
      <c r="C29" s="15" t="n"/>
    </row>
    <row r="30">
      <c r="A30" s="14" t="n"/>
      <c r="B30" s="16" t="n"/>
      <c r="C30" s="15" t="n"/>
    </row>
    <row r="31">
      <c r="A31" s="14" t="n"/>
      <c r="B31" s="16" t="n"/>
      <c r="C31" s="15" t="n"/>
    </row>
    <row r="32">
      <c r="A32" s="14" t="n"/>
      <c r="B32" s="16" t="n"/>
      <c r="C32" s="15" t="n"/>
    </row>
    <row r="33">
      <c r="A33" s="14" t="n"/>
      <c r="B33" s="16" t="n"/>
      <c r="C33" s="15" t="n"/>
    </row>
    <row r="34">
      <c r="A34" s="14" t="n"/>
      <c r="B34" s="16" t="n"/>
      <c r="C34" s="15" t="n"/>
    </row>
    <row r="35">
      <c r="A35" s="14" t="n"/>
      <c r="B35" s="16" t="n"/>
      <c r="C35" s="15" t="n"/>
    </row>
    <row r="36">
      <c r="A36" s="14" t="n"/>
      <c r="B36" s="16" t="n"/>
      <c r="C36" s="15" t="n"/>
    </row>
    <row r="37">
      <c r="A37" s="14" t="n"/>
      <c r="B37" s="16" t="n"/>
      <c r="C37" s="15" t="n"/>
    </row>
    <row r="38">
      <c r="A38" s="14" t="n"/>
      <c r="B38" s="16" t="n"/>
      <c r="C38" s="15" t="n"/>
    </row>
    <row r="39">
      <c r="A39" s="14" t="n"/>
      <c r="B39" s="16" t="n"/>
      <c r="C39" s="15" t="n"/>
    </row>
    <row r="40">
      <c r="A40" s="14" t="n"/>
      <c r="B40" s="16" t="n"/>
      <c r="C40" s="15" t="n"/>
    </row>
    <row r="41">
      <c r="A41" s="14" t="n"/>
      <c r="B41" s="16" t="n"/>
      <c r="C41" s="15" t="n"/>
    </row>
    <row r="42">
      <c r="A42" s="14" t="n"/>
      <c r="B42" s="16" t="n"/>
      <c r="C42" s="15" t="n"/>
    </row>
    <row r="43">
      <c r="A43" s="14" t="n"/>
      <c r="B43" s="16" t="n"/>
      <c r="C43" s="15" t="n"/>
    </row>
    <row r="44">
      <c r="A44" s="14" t="n"/>
      <c r="B44" s="16" t="n"/>
      <c r="C44" s="15" t="n"/>
    </row>
    <row r="45">
      <c r="A45" s="14" t="n"/>
      <c r="B45" s="16" t="n"/>
      <c r="C45" s="15" t="n"/>
    </row>
    <row r="46">
      <c r="A46" s="14" t="n"/>
      <c r="B46" s="16" t="n"/>
      <c r="C46" s="15" t="n"/>
    </row>
    <row r="47">
      <c r="A47" s="14" t="n"/>
      <c r="B47" s="16" t="n"/>
      <c r="C47" s="15" t="n"/>
    </row>
    <row r="48">
      <c r="A48" s="14" t="n"/>
      <c r="B48" s="16" t="n"/>
      <c r="C48" s="15" t="n"/>
    </row>
    <row r="49">
      <c r="A49" s="14" t="n"/>
      <c r="B49" s="16" t="n"/>
      <c r="C49" s="15" t="n"/>
    </row>
    <row r="50">
      <c r="A50" s="14" t="n"/>
      <c r="B50" s="16" t="n"/>
      <c r="C50" s="15" t="n"/>
    </row>
    <row r="51">
      <c r="A51" s="14" t="n"/>
      <c r="B51" s="16" t="n"/>
      <c r="C51" s="15" t="n"/>
    </row>
    <row r="52">
      <c r="A52" s="14" t="n"/>
      <c r="B52" s="16" t="n"/>
      <c r="C52" s="15" t="n"/>
    </row>
    <row r="53">
      <c r="A53" s="14" t="n"/>
      <c r="B53" s="16" t="n"/>
      <c r="C53" s="15" t="n"/>
    </row>
    <row r="54">
      <c r="A54" s="14" t="n"/>
      <c r="B54" s="16" t="n"/>
      <c r="C54" s="15" t="n"/>
    </row>
    <row r="55">
      <c r="A55" s="14" t="n"/>
      <c r="B55" s="16" t="n"/>
      <c r="C55" s="15" t="n"/>
    </row>
    <row r="56">
      <c r="A56" s="14" t="n"/>
      <c r="B56" s="16" t="n"/>
      <c r="C56" s="15" t="n"/>
    </row>
    <row r="57">
      <c r="A57" s="14" t="n"/>
      <c r="B57" s="16" t="n"/>
      <c r="C57" s="15" t="n"/>
    </row>
    <row r="58">
      <c r="A58" s="14" t="n"/>
      <c r="B58" s="16" t="n"/>
      <c r="C58" s="15" t="n"/>
    </row>
    <row r="59">
      <c r="A59" s="14" t="n"/>
      <c r="B59" s="16" t="n"/>
      <c r="C59" s="15" t="n"/>
    </row>
    <row r="60">
      <c r="A60" s="14" t="n"/>
      <c r="B60" s="16" t="n"/>
      <c r="C60" s="15" t="n"/>
    </row>
    <row r="61">
      <c r="A61" s="14" t="n"/>
      <c r="B61" s="16" t="n"/>
      <c r="C61" s="15" t="n"/>
    </row>
    <row r="62">
      <c r="A62" s="14" t="n"/>
      <c r="B62" s="16" t="n"/>
      <c r="C62" s="15" t="n"/>
    </row>
    <row r="63">
      <c r="A63" s="14" t="n"/>
      <c r="B63" s="16" t="n"/>
      <c r="C63" s="15" t="n"/>
    </row>
    <row r="64">
      <c r="A64" s="14" t="n"/>
      <c r="B64" s="16" t="n"/>
      <c r="C64" s="15" t="n"/>
    </row>
    <row r="65">
      <c r="A65" s="14" t="n"/>
      <c r="B65" s="16" t="n"/>
      <c r="C65" s="15" t="n"/>
    </row>
    <row r="66">
      <c r="A66" s="14" t="n"/>
      <c r="B66" s="16" t="n"/>
      <c r="C66" s="15" t="n"/>
    </row>
    <row r="67">
      <c r="A67" s="14" t="n"/>
      <c r="B67" s="16" t="n"/>
      <c r="C67" s="15" t="n"/>
    </row>
    <row r="68">
      <c r="A68" s="14" t="n"/>
      <c r="B68" s="16" t="n"/>
      <c r="C68" s="15" t="n"/>
    </row>
    <row r="69">
      <c r="A69" s="14" t="n"/>
      <c r="B69" s="16" t="n"/>
      <c r="C69" s="15" t="n"/>
    </row>
    <row r="70">
      <c r="A70" s="14" t="n"/>
      <c r="B70" s="16" t="n"/>
      <c r="C70" s="15" t="n"/>
    </row>
    <row r="71">
      <c r="A71" s="14" t="n"/>
      <c r="B71" s="16" t="n"/>
      <c r="C71" s="15" t="n"/>
    </row>
    <row r="72">
      <c r="A72" s="14" t="n"/>
      <c r="B72" s="16" t="n"/>
      <c r="C72" s="15" t="n"/>
    </row>
    <row r="73">
      <c r="A73" s="14" t="n"/>
      <c r="B73" s="16" t="n"/>
      <c r="C73" s="15" t="n"/>
    </row>
    <row r="74">
      <c r="A74" s="14" t="n"/>
      <c r="B74" s="16" t="n"/>
      <c r="C74" s="15" t="n"/>
    </row>
    <row r="75">
      <c r="A75" s="14" t="n"/>
      <c r="B75" s="16" t="n"/>
      <c r="C75" s="15" t="n"/>
    </row>
    <row r="76">
      <c r="A76" s="14" t="n"/>
      <c r="B76" s="16" t="n"/>
      <c r="C76" s="15" t="n"/>
    </row>
    <row r="77">
      <c r="A77" s="14" t="n"/>
      <c r="B77" s="16" t="n"/>
      <c r="C77" s="15" t="n"/>
    </row>
    <row r="78">
      <c r="A78" s="14" t="n"/>
      <c r="B78" s="16" t="n"/>
      <c r="C78" s="15" t="n"/>
    </row>
    <row r="79">
      <c r="A79" s="14" t="n"/>
      <c r="B79" s="16" t="n"/>
      <c r="C79" s="15" t="n"/>
    </row>
    <row r="80">
      <c r="A80" s="14" t="n"/>
      <c r="B80" s="16" t="n"/>
      <c r="C80" s="15" t="n"/>
    </row>
    <row r="81">
      <c r="A81" s="14" t="n"/>
      <c r="B81" s="16" t="n"/>
      <c r="C81" s="15" t="n"/>
    </row>
    <row r="82">
      <c r="A82" s="14" t="n"/>
      <c r="B82" s="16" t="n"/>
      <c r="C82" s="15" t="n"/>
    </row>
    <row r="83">
      <c r="A83" s="14" t="n"/>
      <c r="B83" s="16" t="n"/>
      <c r="C83" s="15" t="n"/>
    </row>
    <row r="84">
      <c r="A84" s="14" t="n"/>
      <c r="B84" s="16" t="n"/>
      <c r="C84" s="15" t="n"/>
    </row>
    <row r="85">
      <c r="A85" s="14" t="n"/>
      <c r="B85" s="16" t="n"/>
      <c r="C85" s="15" t="n"/>
    </row>
    <row r="86">
      <c r="A86" s="14" t="n"/>
      <c r="B86" s="16" t="n"/>
      <c r="C86" s="15" t="n"/>
    </row>
    <row r="87">
      <c r="A87" s="14" t="n"/>
      <c r="B87" s="16" t="n"/>
      <c r="C87" s="15" t="n"/>
    </row>
    <row r="88">
      <c r="A88" s="14" t="n"/>
      <c r="B88" s="16" t="n"/>
      <c r="C88" s="15" t="n"/>
    </row>
    <row r="89">
      <c r="A89" s="14" t="n"/>
      <c r="B89" s="16" t="n"/>
      <c r="C89" s="15" t="n"/>
    </row>
    <row r="90">
      <c r="A90" s="14" t="n"/>
      <c r="B90" s="16" t="n"/>
      <c r="C90" s="15" t="n"/>
    </row>
    <row r="91">
      <c r="A91" s="14" t="n"/>
      <c r="B91" s="16" t="n"/>
      <c r="C91" s="15" t="n"/>
    </row>
    <row r="92">
      <c r="A92" s="14" t="n"/>
      <c r="B92" s="16" t="n"/>
      <c r="C92" s="15" t="n"/>
    </row>
    <row r="93">
      <c r="A93" s="14" t="n"/>
      <c r="B93" s="16" t="n"/>
      <c r="C93" s="15" t="n"/>
    </row>
    <row r="94">
      <c r="A94" s="14" t="n"/>
      <c r="B94" s="16" t="n"/>
      <c r="C94" s="15" t="n"/>
    </row>
    <row r="95">
      <c r="A95" s="14" t="n"/>
      <c r="B95" s="16" t="n"/>
      <c r="C95" s="15" t="n"/>
    </row>
    <row r="96">
      <c r="A96" s="14" t="n"/>
      <c r="B96" s="16" t="n"/>
      <c r="C96" s="15" t="n"/>
    </row>
    <row r="97">
      <c r="A97" s="14" t="n"/>
      <c r="B97" s="16" t="n"/>
      <c r="C97" s="15" t="n"/>
    </row>
    <row r="98">
      <c r="A98" s="14" t="n"/>
      <c r="B98" s="16" t="n"/>
      <c r="C98" s="15" t="n"/>
    </row>
    <row r="99">
      <c r="A99" s="14" t="n"/>
      <c r="B99" s="16" t="n"/>
      <c r="C99" s="15" t="n"/>
    </row>
    <row r="100">
      <c r="A100" s="14" t="n"/>
      <c r="B100" s="16" t="n"/>
      <c r="C100" s="15" t="n"/>
    </row>
    <row r="101">
      <c r="A101" s="14" t="n"/>
      <c r="B101" s="16" t="n"/>
      <c r="C101" s="15" t="n"/>
    </row>
    <row r="102">
      <c r="A102" s="14" t="n"/>
      <c r="B102" s="16" t="n"/>
      <c r="C102" s="15" t="n"/>
    </row>
    <row r="103">
      <c r="A103" s="14" t="n"/>
      <c r="B103" s="16" t="n"/>
      <c r="C103" s="15" t="n"/>
    </row>
    <row r="105">
      <c r="B105" s="3" t="inlineStr">
        <is>
          <t>Totale speso dal buffer</t>
        </is>
      </c>
      <c r="C105" s="18">
        <f>SUM($C$4:$C$103)</f>
        <v/>
      </c>
    </row>
  </sheetData>
  <mergeCells count="1"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56" customWidth="1" min="3" max="3"/>
  </cols>
  <sheetData>
    <row r="1">
      <c r="A1" s="1" t="inlineStr">
        <is>
          <t>Parametri e curva del piano</t>
        </is>
      </c>
    </row>
    <row r="2">
      <c r="A2" s="2" t="inlineStr">
        <is>
          <t>Le celle gialle sono i parametri: cambiali se cambia il piano.</t>
        </is>
      </c>
    </row>
    <row r="3">
      <c r="A3" s="3" t="inlineStr">
        <is>
          <t>Obiettivo del fondo (€)</t>
        </is>
      </c>
      <c r="B3" s="19" t="n">
        <v>5000</v>
      </c>
      <c r="C3" s="2" t="inlineStr">
        <is>
          <t>Fondo di emergenza: circa 3 mesi di spese essenziali.</t>
        </is>
      </c>
    </row>
    <row r="4">
      <c r="A4" s="3" t="inlineStr">
        <is>
          <t>Budget settimanale (€)</t>
        </is>
      </c>
      <c r="B4" s="19" t="n">
        <v>130</v>
      </c>
      <c r="C4" s="2" t="inlineStr">
        <is>
          <t>Spesa, benzina, vita, casa e utenze. Affitto escluso.</t>
        </is>
      </c>
    </row>
    <row r="5">
      <c r="A5" s="3" t="inlineStr">
        <is>
          <t>Accantonamento buffer al mese (€)</t>
        </is>
      </c>
      <c r="B5" s="19" t="n">
        <v>150</v>
      </c>
      <c r="C5" s="2" t="inlineStr">
        <is>
          <t>Assicurazione, bollo, freni, gomme, revisione.</t>
        </is>
      </c>
    </row>
    <row r="6">
      <c r="A6" s="3" t="inlineStr">
        <is>
          <t>Inizio accantonamento buffer</t>
        </is>
      </c>
      <c r="B6" s="20" t="n">
        <v>46266</v>
      </c>
      <c r="C6" s="2" t="inlineStr">
        <is>
          <t>Primo mese in cui hai messo via i 150 €.</t>
        </is>
      </c>
    </row>
    <row r="8">
      <c r="A8" s="3" t="inlineStr">
        <is>
          <t>Curva del piano — fondo cumulato atteso</t>
        </is>
      </c>
    </row>
    <row r="9">
      <c r="A9" s="3" t="inlineStr">
        <is>
          <t>Data</t>
        </is>
      </c>
      <c r="B9" s="3" t="inlineStr">
        <is>
          <t>Fondo (€)</t>
        </is>
      </c>
      <c r="C9" s="3" t="inlineStr">
        <is>
          <t>Da dove viene</t>
        </is>
      </c>
    </row>
    <row r="10">
      <c r="A10" s="21" t="n">
        <v>46266</v>
      </c>
      <c r="B10" s="22" t="n">
        <v>0</v>
      </c>
      <c r="C10" s="2" t="inlineStr">
        <is>
          <t>Punto di partenza.</t>
        </is>
      </c>
    </row>
    <row r="11">
      <c r="A11" s="21" t="n">
        <v>46295</v>
      </c>
      <c r="B11" s="22" t="n">
        <v>446</v>
      </c>
      <c r="C11" s="2" t="inlineStr">
        <is>
          <t>446 € versati a settembre.</t>
        </is>
      </c>
    </row>
    <row r="12">
      <c r="A12" s="21" t="n">
        <v>46326</v>
      </c>
      <c r="B12" s="22" t="n">
        <v>1442</v>
      </c>
      <c r="C12" s="2" t="inlineStr">
        <is>
          <t>446 + 550 € dai tuoi (affitto a 700 e 250 € da tuo padre).</t>
        </is>
      </c>
    </row>
    <row r="13">
      <c r="A13" s="21" t="n">
        <v>46356</v>
      </c>
      <c r="B13" s="22" t="n">
        <v>2188</v>
      </c>
      <c r="C13" s="2" t="inlineStr">
        <is>
          <t>446 + 300 € dai tuoi.</t>
        </is>
      </c>
    </row>
    <row r="14">
      <c r="A14" s="21" t="n">
        <v>46387</v>
      </c>
      <c r="B14" s="22" t="n">
        <v>4094</v>
      </c>
      <c r="C14" s="2" t="inlineStr">
        <is>
          <t>446 + 300 € dai tuoi + ~1.160 € fra tredicesima e conguaglio.</t>
        </is>
      </c>
    </row>
    <row r="15">
      <c r="A15" s="21" t="n">
        <v>46418</v>
      </c>
      <c r="B15" s="22" t="n">
        <v>4355</v>
      </c>
      <c r="C15" s="2" t="inlineStr">
        <is>
          <t>Netto sceso a ~2.005 €: al fondo restano ~261 €/mese.</t>
        </is>
      </c>
    </row>
    <row r="16">
      <c r="A16" s="21" t="n">
        <v>46446</v>
      </c>
      <c r="B16" s="22" t="n">
        <v>4616</v>
      </c>
    </row>
    <row r="17">
      <c r="A17" s="21" t="n">
        <v>46477</v>
      </c>
      <c r="B17" s="22" t="n">
        <v>4877</v>
      </c>
    </row>
    <row r="18">
      <c r="A18" s="21" t="n">
        <v>46507</v>
      </c>
      <c r="B18" s="22" t="n">
        <v>5138</v>
      </c>
      <c r="C18" s="2" t="inlineStr">
        <is>
          <t>Traguardo raggiunto.</t>
        </is>
      </c>
    </row>
    <row r="20">
      <c r="A20" s="3" t="inlineStr">
        <is>
          <t>Fonte dei numeri</t>
        </is>
      </c>
      <c r="C20" s="2" t="inlineStr">
        <is>
          <t>Piano concordato il 13/09/2026, sezione «Quando arrivi davvero a 5.000».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2026-09-13T08:48:15Z</dcterms:created>
  <dcterms:modified xsi:type="dcterms:W3CDTF">2026-09-13T08:48:16Z</dcterms:modified>
</cp:coreProperties>
</file>